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irty\Desktop\Industrial Problem\DCP Test Report Generator\"/>
    </mc:Choice>
  </mc:AlternateContent>
  <xr:revisionPtr revIDLastSave="0" documentId="13_ncr:1_{F2B6AD1C-6D20-489E-A289-6A7E5BF08941}" xr6:coauthVersionLast="47" xr6:coauthVersionMax="47" xr10:uidLastSave="{00000000-0000-0000-0000-000000000000}"/>
  <bookViews>
    <workbookView xWindow="-110" yWindow="-110" windowWidth="19420" windowHeight="11020" tabRatio="591" xr2:uid="{BE9DDAA2-7C83-4FB5-827C-02EDF8846CFF}"/>
  </bookViews>
  <sheets>
    <sheet name="Input" sheetId="12" r:id="rId1"/>
    <sheet name="DCP_Test_Report_Template" sheetId="5" r:id="rId2"/>
    <sheet name="DCP_Test_Summary_Template" sheetId="4" r:id="rId3"/>
  </sheets>
  <functionGroups builtInGroupCount="19"/>
  <definedNames>
    <definedName name="_xleta.AND" hidden="1" xlm="1">#NAME?</definedName>
    <definedName name="_xlnm.Print_Area" localSheetId="1">DCP_Test_Report_Template!$A$1:$AH$62</definedName>
    <definedName name="_xlnm.Print_Area" localSheetId="2">DCP_Test_Summary_Template!$A$1:$X$84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8" i="4" l="1"/>
  <c r="G48" i="4"/>
  <c r="B48" i="4"/>
  <c r="B45" i="4"/>
  <c r="O6" i="4"/>
  <c r="G6" i="4"/>
  <c r="B6" i="4"/>
  <c r="B3" i="4"/>
  <c r="AD7" i="5"/>
  <c r="X7" i="5"/>
  <c r="S7" i="5"/>
  <c r="B2" i="5"/>
  <c r="B5" i="5"/>
  <c r="T5" i="12"/>
  <c r="T6" i="12"/>
  <c r="T7" i="12"/>
  <c r="T8" i="12"/>
  <c r="T9" i="12"/>
  <c r="T10" i="12"/>
  <c r="T11" i="12"/>
  <c r="T12" i="12"/>
  <c r="T13" i="12"/>
  <c r="T14" i="12"/>
  <c r="T15" i="12"/>
  <c r="T16" i="12"/>
  <c r="T17" i="12"/>
  <c r="T18" i="12"/>
  <c r="T19" i="12"/>
  <c r="T20" i="12"/>
  <c r="T21" i="12"/>
  <c r="T22" i="12"/>
  <c r="T23" i="12"/>
  <c r="T24" i="12"/>
  <c r="T25" i="12"/>
  <c r="T26" i="12"/>
  <c r="T27" i="12"/>
  <c r="T28" i="12"/>
  <c r="T29" i="12"/>
  <c r="T30" i="12"/>
  <c r="T31" i="12"/>
  <c r="T32" i="12"/>
  <c r="T33" i="12"/>
  <c r="T34" i="12"/>
  <c r="T35" i="12"/>
  <c r="T36" i="12"/>
  <c r="T37" i="12"/>
  <c r="T38" i="12"/>
  <c r="T39" i="12"/>
  <c r="T40" i="12"/>
  <c r="T41" i="12"/>
  <c r="T42" i="12"/>
  <c r="T43" i="12"/>
  <c r="T44" i="12"/>
  <c r="T45" i="12"/>
  <c r="T46" i="12"/>
  <c r="T47" i="12"/>
  <c r="T48" i="12"/>
  <c r="T49" i="12"/>
  <c r="T50" i="12"/>
  <c r="T51" i="12"/>
  <c r="T52" i="12"/>
  <c r="T53" i="12"/>
  <c r="T54" i="12"/>
  <c r="T55" i="12"/>
  <c r="T56" i="12"/>
  <c r="T57" i="12"/>
  <c r="T58" i="12"/>
  <c r="T59" i="12"/>
  <c r="T60" i="12"/>
  <c r="T61" i="12"/>
  <c r="T62" i="12"/>
  <c r="T63" i="12"/>
  <c r="T64" i="12"/>
  <c r="T65" i="12"/>
  <c r="T66" i="12"/>
  <c r="T67" i="12"/>
  <c r="T68" i="12"/>
  <c r="T69" i="12"/>
  <c r="T70" i="12"/>
  <c r="T71" i="12"/>
  <c r="T72" i="12"/>
  <c r="T73" i="12"/>
  <c r="T74" i="12"/>
  <c r="T75" i="12"/>
  <c r="T76" i="12"/>
  <c r="T77" i="12"/>
  <c r="T78" i="12"/>
  <c r="T79" i="12"/>
  <c r="T80" i="12"/>
  <c r="T81" i="12"/>
  <c r="T82" i="12"/>
  <c r="T83" i="12"/>
  <c r="T84" i="12"/>
  <c r="T85" i="12"/>
  <c r="T86" i="12"/>
  <c r="T87" i="12"/>
  <c r="T88" i="12"/>
  <c r="T89" i="12"/>
  <c r="T90" i="12"/>
  <c r="T91" i="12"/>
  <c r="T92" i="12"/>
  <c r="T93" i="12"/>
  <c r="T94" i="12"/>
  <c r="T95" i="12"/>
  <c r="T96" i="12"/>
  <c r="T97" i="12"/>
  <c r="T98" i="12"/>
  <c r="T99" i="12"/>
  <c r="T100" i="12"/>
  <c r="T101" i="12"/>
  <c r="T102" i="12"/>
  <c r="T103" i="12"/>
  <c r="T104" i="12"/>
  <c r="T105" i="12"/>
  <c r="T106" i="12"/>
  <c r="T107" i="12"/>
  <c r="T108" i="12"/>
  <c r="T109" i="12"/>
  <c r="T110" i="12"/>
  <c r="T111" i="12"/>
  <c r="T112" i="12"/>
  <c r="T113" i="12"/>
  <c r="T114" i="12"/>
  <c r="T115" i="12"/>
  <c r="T116" i="12"/>
  <c r="T117" i="12"/>
  <c r="T118" i="12"/>
  <c r="T119" i="12"/>
  <c r="T120" i="12"/>
  <c r="T121" i="12"/>
  <c r="T122" i="12"/>
  <c r="T123" i="12"/>
  <c r="T124" i="12"/>
  <c r="T125" i="12"/>
  <c r="T126" i="12"/>
  <c r="T127" i="12"/>
  <c r="T128" i="12"/>
  <c r="T129" i="12"/>
  <c r="T130" i="12"/>
  <c r="T131" i="12"/>
  <c r="T132" i="12"/>
  <c r="T133" i="12"/>
  <c r="T134" i="12"/>
  <c r="T135" i="12"/>
  <c r="T136" i="12"/>
  <c r="T137" i="12"/>
  <c r="T138" i="12"/>
  <c r="T139" i="12"/>
  <c r="T140" i="12"/>
  <c r="T141" i="12"/>
  <c r="T142" i="12"/>
  <c r="T143" i="12"/>
  <c r="T144" i="12"/>
  <c r="T145" i="12"/>
  <c r="T146" i="12"/>
  <c r="T147" i="12"/>
  <c r="T148" i="12"/>
  <c r="T149" i="12"/>
  <c r="T150" i="12"/>
  <c r="T151" i="12"/>
  <c r="T152" i="12"/>
  <c r="T153" i="12"/>
  <c r="T154" i="12"/>
  <c r="T155" i="12"/>
  <c r="T156" i="12"/>
  <c r="T157" i="12"/>
  <c r="T158" i="12"/>
  <c r="T159" i="12"/>
  <c r="T160" i="12"/>
  <c r="T4" i="12"/>
  <c r="B41" i="4"/>
  <c r="B40" i="4"/>
  <c r="B39" i="4"/>
  <c r="B38" i="4"/>
  <c r="AK5" i="5" l="1"/>
  <c r="AK6" i="5"/>
  <c r="AK7" i="5"/>
  <c r="AK8" i="5"/>
  <c r="AK9" i="5"/>
  <c r="AK10" i="5"/>
  <c r="AK11" i="5"/>
  <c r="AK12" i="5"/>
  <c r="AK13" i="5"/>
  <c r="AK14" i="5"/>
  <c r="AK15" i="5"/>
  <c r="AK16" i="5"/>
  <c r="AK17" i="5"/>
  <c r="AK18" i="5"/>
  <c r="AK19" i="5"/>
  <c r="AK20" i="5"/>
  <c r="AK21" i="5"/>
  <c r="AK22" i="5"/>
  <c r="AK23" i="5"/>
  <c r="AK24" i="5"/>
  <c r="AK25" i="5"/>
  <c r="AK26" i="5"/>
  <c r="AK27" i="5"/>
  <c r="AK28" i="5"/>
  <c r="AK29" i="5"/>
  <c r="AK30" i="5"/>
  <c r="AK31" i="5"/>
  <c r="AK32" i="5"/>
  <c r="AK33" i="5"/>
  <c r="AK34" i="5"/>
  <c r="AK35" i="5"/>
  <c r="AK36" i="5"/>
  <c r="AK37" i="5"/>
  <c r="AK38" i="5"/>
  <c r="AK39" i="5"/>
  <c r="AK40" i="5"/>
  <c r="AK41" i="5"/>
  <c r="AK42" i="5"/>
  <c r="AK43" i="5"/>
  <c r="AK44" i="5"/>
  <c r="AK45" i="5"/>
  <c r="AK46" i="5"/>
  <c r="AK47" i="5"/>
  <c r="AK48" i="5"/>
  <c r="AK49" i="5"/>
  <c r="AK50" i="5"/>
  <c r="AK51" i="5"/>
  <c r="AK52" i="5"/>
  <c r="AK53" i="5"/>
  <c r="AK54" i="5"/>
  <c r="AK55" i="5"/>
  <c r="AK56" i="5"/>
  <c r="AK57" i="5"/>
  <c r="AK58" i="5"/>
  <c r="AK59" i="5"/>
  <c r="AK60" i="5"/>
  <c r="AK61" i="5"/>
  <c r="AK62" i="5"/>
  <c r="AK63" i="5"/>
  <c r="AK64" i="5"/>
  <c r="AK65" i="5"/>
  <c r="AK66" i="5"/>
  <c r="AK67" i="5"/>
  <c r="AK68" i="5"/>
  <c r="AK69" i="5"/>
  <c r="AK70" i="5"/>
  <c r="AK71" i="5"/>
  <c r="AK72" i="5"/>
  <c r="AK73" i="5"/>
  <c r="AK74" i="5"/>
  <c r="AK75" i="5"/>
  <c r="AK76" i="5"/>
  <c r="AK77" i="5"/>
  <c r="AK78" i="5"/>
  <c r="AK79" i="5"/>
  <c r="AK80" i="5"/>
  <c r="AK81" i="5"/>
  <c r="AK82" i="5"/>
  <c r="AK83" i="5"/>
  <c r="AK84" i="5"/>
  <c r="AK85" i="5"/>
  <c r="AK86" i="5"/>
  <c r="AK87" i="5"/>
  <c r="AK88" i="5"/>
  <c r="AK89" i="5"/>
  <c r="AK90" i="5"/>
  <c r="AK91" i="5"/>
  <c r="AK92" i="5"/>
  <c r="AK93" i="5"/>
  <c r="AK94" i="5"/>
  <c r="AK95" i="5"/>
  <c r="AK96" i="5"/>
  <c r="AK97" i="5"/>
  <c r="AK98" i="5"/>
  <c r="AK99" i="5"/>
  <c r="AK100" i="5"/>
  <c r="AK101" i="5"/>
  <c r="AK102" i="5"/>
  <c r="AK103" i="5"/>
  <c r="AK104" i="5"/>
  <c r="AK105" i="5"/>
  <c r="AK106" i="5"/>
  <c r="AK107" i="5"/>
  <c r="AK108" i="5"/>
  <c r="AK109" i="5"/>
  <c r="AK110" i="5"/>
  <c r="AK111" i="5"/>
  <c r="AK112" i="5"/>
  <c r="AK113" i="5"/>
  <c r="AK114" i="5"/>
  <c r="AK115" i="5"/>
  <c r="AK116" i="5"/>
  <c r="AK117" i="5"/>
  <c r="AK118" i="5"/>
  <c r="AK119" i="5"/>
  <c r="AK120" i="5"/>
  <c r="AK121" i="5"/>
  <c r="AK122" i="5"/>
  <c r="AK123" i="5"/>
  <c r="AK124" i="5"/>
  <c r="AK125" i="5"/>
  <c r="AK126" i="5"/>
  <c r="AK127" i="5"/>
  <c r="AK128" i="5"/>
  <c r="AK129" i="5"/>
  <c r="AK130" i="5"/>
  <c r="AK131" i="5"/>
  <c r="AK132" i="5"/>
  <c r="AK133" i="5"/>
  <c r="AK134" i="5"/>
  <c r="AK135" i="5"/>
  <c r="AK136" i="5"/>
  <c r="AK137" i="5"/>
  <c r="AK138" i="5"/>
  <c r="AK139" i="5"/>
  <c r="AK140" i="5"/>
  <c r="AK141" i="5"/>
  <c r="AK142" i="5"/>
  <c r="AK143" i="5"/>
  <c r="AK144" i="5"/>
  <c r="AK145" i="5"/>
  <c r="AK146" i="5"/>
  <c r="AK147" i="5"/>
  <c r="AK148" i="5"/>
  <c r="AK149" i="5"/>
  <c r="AK150" i="5"/>
  <c r="AK151" i="5"/>
  <c r="AK152" i="5"/>
  <c r="AK153" i="5"/>
  <c r="AK154" i="5"/>
  <c r="AK155" i="5"/>
  <c r="AK156" i="5"/>
  <c r="AK157" i="5"/>
  <c r="AK158" i="5"/>
  <c r="AK159" i="5"/>
  <c r="AK160" i="5"/>
  <c r="AK161" i="5"/>
  <c r="AJ5" i="5"/>
  <c r="AJ6" i="5"/>
  <c r="AJ7" i="5"/>
  <c r="AJ8" i="5"/>
  <c r="AJ9" i="5"/>
  <c r="AJ10" i="5"/>
  <c r="AJ11" i="5"/>
  <c r="AJ12" i="5"/>
  <c r="AJ13" i="5"/>
  <c r="AJ14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0" i="5"/>
  <c r="AJ31" i="5"/>
  <c r="AJ32" i="5"/>
  <c r="AJ33" i="5"/>
  <c r="AJ34" i="5"/>
  <c r="AJ35" i="5"/>
  <c r="AJ36" i="5"/>
  <c r="AJ37" i="5"/>
  <c r="AJ38" i="5"/>
  <c r="AJ39" i="5"/>
  <c r="AJ40" i="5"/>
  <c r="AJ41" i="5"/>
  <c r="AJ42" i="5"/>
  <c r="AJ43" i="5"/>
  <c r="AJ44" i="5"/>
  <c r="AJ45" i="5"/>
  <c r="AJ46" i="5"/>
  <c r="AJ47" i="5"/>
  <c r="AJ48" i="5"/>
  <c r="AJ49" i="5"/>
  <c r="AJ50" i="5"/>
  <c r="AJ51" i="5"/>
  <c r="AJ52" i="5"/>
  <c r="AJ53" i="5"/>
  <c r="AJ54" i="5"/>
  <c r="AJ55" i="5"/>
  <c r="AJ56" i="5"/>
  <c r="AJ57" i="5"/>
  <c r="AJ58" i="5"/>
  <c r="AJ59" i="5"/>
  <c r="AJ60" i="5"/>
  <c r="AJ61" i="5"/>
  <c r="AJ62" i="5"/>
  <c r="AJ63" i="5"/>
  <c r="AJ64" i="5"/>
  <c r="AJ65" i="5"/>
  <c r="AJ66" i="5"/>
  <c r="AJ67" i="5"/>
  <c r="AJ68" i="5"/>
  <c r="AJ69" i="5"/>
  <c r="AJ70" i="5"/>
  <c r="AJ71" i="5"/>
  <c r="AJ72" i="5"/>
  <c r="AJ73" i="5"/>
  <c r="AJ74" i="5"/>
  <c r="AJ75" i="5"/>
  <c r="AJ76" i="5"/>
  <c r="AJ77" i="5"/>
  <c r="AJ78" i="5"/>
  <c r="AJ79" i="5"/>
  <c r="AJ80" i="5"/>
  <c r="AJ81" i="5"/>
  <c r="AJ82" i="5"/>
  <c r="AJ83" i="5"/>
  <c r="AJ84" i="5"/>
  <c r="AJ85" i="5"/>
  <c r="AJ86" i="5"/>
  <c r="AJ87" i="5"/>
  <c r="AJ88" i="5"/>
  <c r="AJ89" i="5"/>
  <c r="AJ90" i="5"/>
  <c r="AJ91" i="5"/>
  <c r="AJ92" i="5"/>
  <c r="AJ93" i="5"/>
  <c r="AJ94" i="5"/>
  <c r="AJ95" i="5"/>
  <c r="AJ96" i="5"/>
  <c r="AJ97" i="5"/>
  <c r="AJ98" i="5"/>
  <c r="AJ99" i="5"/>
  <c r="AJ100" i="5"/>
  <c r="AJ101" i="5"/>
  <c r="AJ102" i="5"/>
  <c r="AJ103" i="5"/>
  <c r="AJ104" i="5"/>
  <c r="AJ105" i="5"/>
  <c r="AJ106" i="5"/>
  <c r="AJ107" i="5"/>
  <c r="AJ108" i="5"/>
  <c r="AJ109" i="5"/>
  <c r="AJ110" i="5"/>
  <c r="AJ111" i="5"/>
  <c r="AJ112" i="5"/>
  <c r="AJ113" i="5"/>
  <c r="AJ114" i="5"/>
  <c r="AJ115" i="5"/>
  <c r="AJ116" i="5"/>
  <c r="AJ117" i="5"/>
  <c r="AJ118" i="5"/>
  <c r="AJ119" i="5"/>
  <c r="AJ120" i="5"/>
  <c r="AJ121" i="5"/>
  <c r="AJ122" i="5"/>
  <c r="AJ123" i="5"/>
  <c r="AJ124" i="5"/>
  <c r="AJ125" i="5"/>
  <c r="AJ126" i="5"/>
  <c r="AJ127" i="5"/>
  <c r="AJ128" i="5"/>
  <c r="AJ129" i="5"/>
  <c r="AJ130" i="5"/>
  <c r="AJ131" i="5"/>
  <c r="AJ132" i="5"/>
  <c r="AJ133" i="5"/>
  <c r="AJ134" i="5"/>
  <c r="AJ135" i="5"/>
  <c r="AJ136" i="5"/>
  <c r="AJ137" i="5"/>
  <c r="AJ138" i="5"/>
  <c r="AJ139" i="5"/>
  <c r="AJ140" i="5"/>
  <c r="AJ141" i="5"/>
  <c r="AJ142" i="5"/>
  <c r="AJ143" i="5"/>
  <c r="AJ144" i="5"/>
  <c r="AJ145" i="5"/>
  <c r="AJ146" i="5"/>
  <c r="AJ147" i="5"/>
  <c r="AJ148" i="5"/>
  <c r="AJ149" i="5"/>
  <c r="AJ150" i="5"/>
  <c r="AJ151" i="5"/>
  <c r="AJ152" i="5"/>
  <c r="AJ153" i="5"/>
  <c r="AJ154" i="5"/>
  <c r="AJ155" i="5"/>
  <c r="AJ156" i="5"/>
  <c r="AJ157" i="5"/>
  <c r="AJ158" i="5"/>
  <c r="AJ159" i="5"/>
  <c r="AJ160" i="5"/>
  <c r="AJ161" i="5"/>
  <c r="AJ162" i="5"/>
  <c r="AJ163" i="5"/>
  <c r="AJ164" i="5"/>
  <c r="AJ165" i="5"/>
  <c r="AJ166" i="5"/>
  <c r="AJ167" i="5"/>
  <c r="AJ168" i="5"/>
  <c r="AJ169" i="5"/>
  <c r="AJ170" i="5"/>
  <c r="AJ171" i="5"/>
  <c r="AJ172" i="5"/>
  <c r="AJ173" i="5"/>
  <c r="AJ174" i="5"/>
  <c r="AJ175" i="5"/>
  <c r="AJ176" i="5"/>
  <c r="AJ177" i="5"/>
  <c r="AJ178" i="5"/>
  <c r="AJ179" i="5"/>
  <c r="AJ180" i="5"/>
  <c r="AJ181" i="5"/>
  <c r="AJ182" i="5"/>
  <c r="AJ183" i="5"/>
  <c r="AJ184" i="5"/>
  <c r="AJ185" i="5"/>
  <c r="AJ186" i="5"/>
  <c r="AJ187" i="5"/>
  <c r="AJ188" i="5"/>
  <c r="AJ189" i="5"/>
  <c r="AJ190" i="5"/>
  <c r="AJ191" i="5"/>
  <c r="AJ4" i="5"/>
  <c r="AK4" i="5"/>
  <c r="S61" i="5"/>
  <c r="S60" i="5"/>
  <c r="S59" i="5"/>
  <c r="S58" i="5"/>
  <c r="N59" i="5"/>
  <c r="S39" i="4" s="1"/>
  <c r="K59" i="5"/>
  <c r="N39" i="4" s="1"/>
  <c r="H59" i="5"/>
  <c r="I39" i="4" s="1"/>
  <c r="E59" i="5"/>
  <c r="E39" i="4" s="1"/>
  <c r="N58" i="5"/>
  <c r="S38" i="4" s="1"/>
  <c r="K58" i="5"/>
  <c r="N38" i="4" s="1"/>
  <c r="H58" i="5"/>
  <c r="I38" i="4" s="1"/>
  <c r="E58" i="5"/>
  <c r="E38" i="4" s="1"/>
  <c r="N57" i="5"/>
  <c r="S37" i="4" s="1"/>
  <c r="K57" i="5"/>
  <c r="N37" i="4" s="1"/>
  <c r="H57" i="5"/>
  <c r="I37" i="4" s="1"/>
  <c r="E57" i="5"/>
  <c r="E37" i="4" s="1"/>
  <c r="K56" i="5"/>
  <c r="E56" i="5"/>
  <c r="E36" i="4" s="1"/>
  <c r="B4" i="4"/>
  <c r="B2" i="4"/>
  <c r="P11" i="5"/>
  <c r="K11" i="5"/>
  <c r="J11" i="5"/>
  <c r="J10" i="5"/>
  <c r="I11" i="4" s="1"/>
  <c r="D12" i="5"/>
  <c r="D11" i="5"/>
  <c r="D10" i="5"/>
  <c r="C11" i="4" s="1"/>
  <c r="AB56" i="5" l="1"/>
  <c r="N36" i="4"/>
  <c r="V56" i="5"/>
  <c r="AA63" i="4"/>
  <c r="B63" i="4" s="1" a="1"/>
  <c r="AA64" i="4"/>
  <c r="B64" i="4" s="1" a="1"/>
  <c r="AA65" i="4"/>
  <c r="B65" i="4" s="1" a="1"/>
  <c r="AA66" i="4"/>
  <c r="B66" i="4" s="1" a="1"/>
  <c r="AA67" i="4"/>
  <c r="B67" i="4" s="1" a="1"/>
  <c r="AA68" i="4"/>
  <c r="B68" i="4" s="1" a="1"/>
  <c r="AA69" i="4"/>
  <c r="B69" i="4" s="1" a="1"/>
  <c r="AA70" i="4"/>
  <c r="B70" i="4" s="1" a="1"/>
  <c r="AA71" i="4"/>
  <c r="B71" i="4" s="1" a="1"/>
  <c r="AA72" i="4"/>
  <c r="B72" i="4" s="1" a="1"/>
  <c r="AA73" i="4"/>
  <c r="B73" i="4" s="1" a="1"/>
  <c r="AA74" i="4"/>
  <c r="B74" i="4" s="1" a="1"/>
  <c r="AA75" i="4"/>
  <c r="B75" i="4" s="1" a="1"/>
  <c r="AA76" i="4"/>
  <c r="B76" i="4" s="1" a="1"/>
  <c r="AA18" i="4"/>
  <c r="AA19" i="4"/>
  <c r="B19" i="4" s="1" a="1"/>
  <c r="AA20" i="4"/>
  <c r="AA21" i="4"/>
  <c r="B21" i="4" s="1" a="1"/>
  <c r="AA22" i="4"/>
  <c r="B22" i="4" s="1" a="1"/>
  <c r="AA23" i="4"/>
  <c r="B23" i="4" s="1" a="1"/>
  <c r="AA24" i="4"/>
  <c r="B24" i="4" s="1" a="1"/>
  <c r="AA25" i="4"/>
  <c r="B25" i="4" s="1" a="1"/>
  <c r="AA26" i="4"/>
  <c r="B26" i="4" s="1" a="1"/>
  <c r="AA27" i="4"/>
  <c r="B27" i="4" s="1" a="1"/>
  <c r="AA28" i="4"/>
  <c r="B28" i="4" s="1" a="1"/>
  <c r="AA29" i="4"/>
  <c r="B29" i="4" s="1" a="1"/>
  <c r="AA30" i="4"/>
  <c r="B30" i="4" s="1" a="1"/>
  <c r="AA31" i="4"/>
  <c r="B31" i="4" s="1" a="1"/>
  <c r="AA32" i="4"/>
  <c r="B32" i="4" s="1" a="1"/>
  <c r="AA33" i="4"/>
  <c r="B33" i="4" s="1" a="1"/>
  <c r="AA34" i="4"/>
  <c r="B34" i="4" s="1" a="1"/>
  <c r="B18" i="4" a="1"/>
  <c r="B20" i="4" a="1"/>
  <c r="E70" i="4" l="1" a="1"/>
  <c r="P70" i="4" a="1"/>
  <c r="N70" i="4" a="1"/>
  <c r="V70" i="4" a="1"/>
  <c r="G70" i="4" a="1"/>
  <c r="L70" i="4" a="1"/>
  <c r="I70" i="4" a="1"/>
  <c r="T70" i="4" a="1"/>
  <c r="K70" i="4" a="1"/>
  <c r="D70" i="4" a="1"/>
  <c r="H70" i="4" a="1"/>
  <c r="O70" i="4" a="1"/>
  <c r="Q70" i="4" a="1"/>
  <c r="C70" i="4" a="1"/>
  <c r="S70" i="4" a="1"/>
  <c r="U70" i="4" a="1"/>
  <c r="W70" i="4" a="1"/>
  <c r="F70" i="4" a="1"/>
  <c r="R70" i="4" a="1"/>
  <c r="J70" i="4" a="1"/>
  <c r="M70" i="4" a="1"/>
  <c r="C69" i="4" a="1"/>
  <c r="N69" i="4" a="1"/>
  <c r="K69" i="4" a="1"/>
  <c r="R69" i="4" a="1"/>
  <c r="J69" i="4" a="1"/>
  <c r="W69" i="4" a="1"/>
  <c r="D69" i="4" a="1"/>
  <c r="U69" i="4" a="1"/>
  <c r="O69" i="4" a="1"/>
  <c r="T69" i="4" a="1"/>
  <c r="P69" i="4" a="1"/>
  <c r="E69" i="4" a="1"/>
  <c r="G69" i="4" a="1"/>
  <c r="S69" i="4" a="1"/>
  <c r="F69" i="4" a="1"/>
  <c r="V69" i="4" a="1"/>
  <c r="I69" i="4" a="1"/>
  <c r="M69" i="4" a="1"/>
  <c r="L69" i="4" a="1"/>
  <c r="Q69" i="4" a="1"/>
  <c r="H69" i="4" a="1"/>
  <c r="D75" i="4" a="1"/>
  <c r="E75" i="4" a="1"/>
  <c r="T75" i="4" a="1"/>
  <c r="J75" i="4" a="1"/>
  <c r="I75" i="4" a="1"/>
  <c r="H75" i="4" a="1"/>
  <c r="P75" i="4" a="1"/>
  <c r="L75" i="4" a="1"/>
  <c r="F75" i="4" a="1"/>
  <c r="O75" i="4" a="1"/>
  <c r="W75" i="4" a="1"/>
  <c r="Q75" i="4" a="1"/>
  <c r="G75" i="4" a="1"/>
  <c r="U75" i="4" a="1"/>
  <c r="V75" i="4" a="1"/>
  <c r="N75" i="4" a="1"/>
  <c r="K75" i="4" a="1"/>
  <c r="C75" i="4" a="1"/>
  <c r="S75" i="4" a="1"/>
  <c r="M75" i="4" a="1"/>
  <c r="R75" i="4" a="1"/>
  <c r="N67" i="4" a="1"/>
  <c r="F67" i="4" a="1"/>
  <c r="U67" i="4" a="1"/>
  <c r="D67" i="4" a="1"/>
  <c r="C67" i="4" a="1"/>
  <c r="I67" i="4" a="1"/>
  <c r="G67" i="4" a="1"/>
  <c r="O67" i="4" a="1"/>
  <c r="S67" i="4" a="1"/>
  <c r="R67" i="4" a="1"/>
  <c r="K67" i="4" a="1"/>
  <c r="E67" i="4" a="1"/>
  <c r="L67" i="4" a="1"/>
  <c r="V67" i="4" a="1"/>
  <c r="T67" i="4" a="1"/>
  <c r="P67" i="4" a="1"/>
  <c r="J67" i="4" a="1"/>
  <c r="H67" i="4" a="1"/>
  <c r="Q67" i="4" a="1"/>
  <c r="M67" i="4" a="1"/>
  <c r="W67" i="4" a="1"/>
  <c r="E74" i="4" a="1"/>
  <c r="H74" i="4" a="1"/>
  <c r="C74" i="4" a="1"/>
  <c r="P74" i="4" a="1"/>
  <c r="U74" i="4" a="1"/>
  <c r="S74" i="4" a="1"/>
  <c r="O74" i="4" a="1"/>
  <c r="D74" i="4" a="1"/>
  <c r="N74" i="4" a="1"/>
  <c r="L74" i="4" a="1"/>
  <c r="J74" i="4" a="1"/>
  <c r="G74" i="4" a="1"/>
  <c r="K74" i="4" a="1"/>
  <c r="V74" i="4" a="1"/>
  <c r="W74" i="4" a="1"/>
  <c r="F74" i="4" a="1"/>
  <c r="R74" i="4" a="1"/>
  <c r="Q74" i="4" a="1"/>
  <c r="I74" i="4" a="1"/>
  <c r="T74" i="4" a="1"/>
  <c r="M74" i="4" a="1"/>
  <c r="D66" i="4" a="1"/>
  <c r="L66" i="4" a="1"/>
  <c r="T66" i="4" a="1"/>
  <c r="G66" i="4" a="1"/>
  <c r="Q66" i="4" a="1"/>
  <c r="K66" i="4" a="1"/>
  <c r="U66" i="4" a="1"/>
  <c r="W66" i="4" a="1"/>
  <c r="H66" i="4" a="1"/>
  <c r="C66" i="4" a="1"/>
  <c r="J66" i="4" a="1"/>
  <c r="P66" i="4" a="1"/>
  <c r="N66" i="4" a="1"/>
  <c r="O66" i="4" a="1"/>
  <c r="M66" i="4" a="1"/>
  <c r="S66" i="4" a="1"/>
  <c r="E66" i="4" a="1"/>
  <c r="R66" i="4" a="1"/>
  <c r="F66" i="4" a="1"/>
  <c r="V66" i="4" a="1"/>
  <c r="I66" i="4" a="1"/>
  <c r="E73" i="4" a="1"/>
  <c r="V73" i="4" a="1"/>
  <c r="Q73" i="4" a="1"/>
  <c r="M73" i="4" a="1"/>
  <c r="U73" i="4" a="1"/>
  <c r="O73" i="4" a="1"/>
  <c r="K73" i="4" a="1"/>
  <c r="R73" i="4" a="1"/>
  <c r="G73" i="4" a="1"/>
  <c r="C73" i="4" a="1"/>
  <c r="D73" i="4" a="1"/>
  <c r="I73" i="4" a="1"/>
  <c r="L73" i="4" a="1"/>
  <c r="W73" i="4" a="1"/>
  <c r="T73" i="4" a="1"/>
  <c r="P73" i="4" a="1"/>
  <c r="N73" i="4" a="1"/>
  <c r="H73" i="4" a="1"/>
  <c r="S73" i="4" a="1"/>
  <c r="J73" i="4" a="1"/>
  <c r="F73" i="4" a="1"/>
  <c r="N65" i="4" a="1"/>
  <c r="E65" i="4" a="1"/>
  <c r="O65" i="4" a="1"/>
  <c r="T65" i="4" a="1"/>
  <c r="I65" i="4" a="1"/>
  <c r="S65" i="4" a="1"/>
  <c r="K65" i="4" a="1"/>
  <c r="L65" i="4" a="1"/>
  <c r="J65" i="4" a="1"/>
  <c r="M65" i="4" a="1"/>
  <c r="W65" i="4" a="1"/>
  <c r="U65" i="4" a="1"/>
  <c r="V65" i="4" a="1"/>
  <c r="P65" i="4" a="1"/>
  <c r="D65" i="4" a="1"/>
  <c r="Q65" i="4" a="1"/>
  <c r="F65" i="4" a="1"/>
  <c r="C65" i="4" a="1"/>
  <c r="R65" i="4" a="1"/>
  <c r="H65" i="4" a="1"/>
  <c r="G65" i="4" a="1"/>
  <c r="I76" i="4" a="1"/>
  <c r="W76" i="4" a="1"/>
  <c r="E76" i="4" a="1"/>
  <c r="T76" i="4" a="1"/>
  <c r="N76" i="4" a="1"/>
  <c r="D76" i="4" a="1"/>
  <c r="O76" i="4" a="1"/>
  <c r="G76" i="4" a="1"/>
  <c r="P76" i="4" a="1"/>
  <c r="F76" i="4" a="1"/>
  <c r="Q76" i="4" a="1"/>
  <c r="K76" i="4" a="1"/>
  <c r="M76" i="4" a="1"/>
  <c r="V76" i="4" a="1"/>
  <c r="L76" i="4" a="1"/>
  <c r="H76" i="4" a="1"/>
  <c r="C76" i="4" a="1"/>
  <c r="U76" i="4" a="1"/>
  <c r="S76" i="4" a="1"/>
  <c r="R76" i="4" a="1"/>
  <c r="J76" i="4" a="1"/>
  <c r="C72" i="4" a="1"/>
  <c r="H72" i="4" a="1"/>
  <c r="M72" i="4" a="1"/>
  <c r="D72" i="4" a="1"/>
  <c r="F72" i="4" a="1"/>
  <c r="L72" i="4" a="1"/>
  <c r="K72" i="4" a="1"/>
  <c r="V72" i="4" a="1"/>
  <c r="S72" i="4" a="1"/>
  <c r="T72" i="4" a="1"/>
  <c r="E72" i="4" a="1"/>
  <c r="R72" i="4" a="1"/>
  <c r="O72" i="4" a="1"/>
  <c r="G72" i="4" a="1"/>
  <c r="N72" i="4" a="1"/>
  <c r="I72" i="4" a="1"/>
  <c r="W72" i="4" a="1"/>
  <c r="U72" i="4" a="1"/>
  <c r="Q72" i="4" a="1"/>
  <c r="P72" i="4" a="1"/>
  <c r="J72" i="4" a="1"/>
  <c r="P64" i="4" a="1"/>
  <c r="V64" i="4" a="1"/>
  <c r="D64" i="4" a="1"/>
  <c r="K64" i="4" a="1"/>
  <c r="U64" i="4" a="1"/>
  <c r="H64" i="4" a="1"/>
  <c r="O64" i="4" a="1"/>
  <c r="R64" i="4" a="1"/>
  <c r="Q64" i="4" a="1"/>
  <c r="F64" i="4" a="1"/>
  <c r="S64" i="4" a="1"/>
  <c r="L64" i="4" a="1"/>
  <c r="E64" i="4" a="1"/>
  <c r="I64" i="4" a="1"/>
  <c r="J64" i="4" a="1"/>
  <c r="W64" i="4" a="1"/>
  <c r="N64" i="4" a="1"/>
  <c r="T64" i="4" a="1"/>
  <c r="G64" i="4" a="1"/>
  <c r="C64" i="4" a="1"/>
  <c r="M64" i="4" a="1"/>
  <c r="N68" i="4" a="1"/>
  <c r="I68" i="4" a="1"/>
  <c r="L68" i="4" a="1"/>
  <c r="J68" i="4" a="1"/>
  <c r="Q68" i="4" a="1"/>
  <c r="C68" i="4" a="1"/>
  <c r="M68" i="4" a="1"/>
  <c r="O68" i="4" a="1"/>
  <c r="P68" i="4" a="1"/>
  <c r="U68" i="4" a="1"/>
  <c r="F68" i="4" a="1"/>
  <c r="G68" i="4" a="1"/>
  <c r="E68" i="4" a="1"/>
  <c r="T68" i="4" a="1"/>
  <c r="K68" i="4" a="1"/>
  <c r="S68" i="4" a="1"/>
  <c r="V68" i="4" a="1"/>
  <c r="D68" i="4" a="1"/>
  <c r="R68" i="4" a="1"/>
  <c r="H68" i="4" a="1"/>
  <c r="W68" i="4" a="1"/>
  <c r="C71" i="4" a="1"/>
  <c r="K71" i="4" a="1"/>
  <c r="L71" i="4" a="1"/>
  <c r="F71" i="4" a="1"/>
  <c r="P71" i="4" a="1"/>
  <c r="H71" i="4" a="1"/>
  <c r="V71" i="4" a="1"/>
  <c r="N71" i="4" a="1"/>
  <c r="J71" i="4" a="1"/>
  <c r="O71" i="4" a="1"/>
  <c r="E71" i="4" a="1"/>
  <c r="I71" i="4" a="1"/>
  <c r="S71" i="4" a="1"/>
  <c r="G71" i="4" a="1"/>
  <c r="T71" i="4" a="1"/>
  <c r="M71" i="4" a="1"/>
  <c r="R71" i="4" a="1"/>
  <c r="W71" i="4" a="1"/>
  <c r="D71" i="4" a="1"/>
  <c r="U71" i="4" a="1"/>
  <c r="Q71" i="4" a="1"/>
  <c r="F63" i="4" a="1"/>
  <c r="E63" i="4" a="1"/>
  <c r="O63" i="4" a="1"/>
  <c r="S63" i="4" a="1"/>
  <c r="Q63" i="4" a="1"/>
  <c r="V63" i="4" a="1"/>
  <c r="L63" i="4" a="1"/>
  <c r="I63" i="4" a="1"/>
  <c r="D63" i="4" a="1"/>
  <c r="H63" i="4" a="1"/>
  <c r="M63" i="4" a="1"/>
  <c r="W63" i="4" a="1"/>
  <c r="C63" i="4" a="1"/>
  <c r="K63" i="4" a="1"/>
  <c r="R63" i="4" a="1"/>
  <c r="N63" i="4" a="1"/>
  <c r="U63" i="4" a="1"/>
  <c r="T63" i="4" a="1"/>
  <c r="J63" i="4" a="1"/>
  <c r="P63" i="4" a="1"/>
  <c r="G63" i="4" a="1"/>
  <c r="T34" i="4" a="1"/>
  <c r="P34" i="4" a="1"/>
  <c r="J34" i="4" a="1"/>
  <c r="S34" i="4" a="1"/>
  <c r="H34" i="4" a="1"/>
  <c r="N34" i="4" a="1"/>
  <c r="W34" i="4" a="1"/>
  <c r="E34" i="4" a="1"/>
  <c r="R34" i="4" a="1"/>
  <c r="D34" i="4" a="1"/>
  <c r="I34" i="4" a="1"/>
  <c r="V34" i="4" a="1"/>
  <c r="L34" i="4" a="1"/>
  <c r="O34" i="4" a="1"/>
  <c r="M34" i="4" a="1"/>
  <c r="C34" i="4" a="1"/>
  <c r="Q34" i="4" a="1"/>
  <c r="G34" i="4" a="1"/>
  <c r="F34" i="4" a="1"/>
  <c r="U34" i="4" a="1"/>
  <c r="K34" i="4" a="1"/>
  <c r="C24" i="4" a="1"/>
  <c r="P24" i="4" a="1"/>
  <c r="L24" i="4" a="1"/>
  <c r="J24" i="4" a="1"/>
  <c r="F24" i="4" a="1"/>
  <c r="O24" i="4" a="1"/>
  <c r="G24" i="4" a="1"/>
  <c r="E24" i="4" a="1"/>
  <c r="R24" i="4" a="1"/>
  <c r="T24" i="4" a="1"/>
  <c r="N24" i="4" a="1"/>
  <c r="I24" i="4" a="1"/>
  <c r="S24" i="4" a="1"/>
  <c r="W24" i="4" a="1"/>
  <c r="M24" i="4" a="1"/>
  <c r="D24" i="4" a="1"/>
  <c r="V24" i="4" a="1"/>
  <c r="K24" i="4" a="1"/>
  <c r="Q24" i="4" a="1"/>
  <c r="U24" i="4" a="1"/>
  <c r="H24" i="4" a="1"/>
  <c r="H26" i="4" a="1"/>
  <c r="E26" i="4" a="1"/>
  <c r="S26" i="4" a="1"/>
  <c r="J26" i="4" a="1"/>
  <c r="I26" i="4" a="1"/>
  <c r="G26" i="4" a="1"/>
  <c r="D26" i="4" a="1"/>
  <c r="M26" i="4" a="1"/>
  <c r="N26" i="4" a="1"/>
  <c r="W26" i="4" a="1"/>
  <c r="L26" i="4" a="1"/>
  <c r="Q26" i="4" a="1"/>
  <c r="T26" i="4" a="1"/>
  <c r="F26" i="4" a="1"/>
  <c r="U26" i="4" a="1"/>
  <c r="O26" i="4" a="1"/>
  <c r="K26" i="4" a="1"/>
  <c r="V26" i="4" a="1"/>
  <c r="P26" i="4" a="1"/>
  <c r="R26" i="4" a="1"/>
  <c r="C26" i="4" a="1"/>
  <c r="P31" i="4" a="1"/>
  <c r="H31" i="4" a="1"/>
  <c r="U31" i="4" a="1"/>
  <c r="M31" i="4" a="1"/>
  <c r="W31" i="4" a="1"/>
  <c r="E31" i="4" a="1"/>
  <c r="S31" i="4" a="1"/>
  <c r="J31" i="4" a="1"/>
  <c r="V31" i="4" a="1"/>
  <c r="I31" i="4" a="1"/>
  <c r="C31" i="4" a="1"/>
  <c r="F31" i="4" a="1"/>
  <c r="O31" i="4" a="1"/>
  <c r="R31" i="4" a="1"/>
  <c r="G31" i="4" a="1"/>
  <c r="L31" i="4" a="1"/>
  <c r="T31" i="4" a="1"/>
  <c r="N31" i="4" a="1"/>
  <c r="D31" i="4" a="1"/>
  <c r="Q31" i="4" a="1"/>
  <c r="K31" i="4" a="1"/>
  <c r="Q23" i="4" a="1"/>
  <c r="M23" i="4" a="1"/>
  <c r="R23" i="4" a="1"/>
  <c r="I23" i="4" a="1"/>
  <c r="H23" i="4" a="1"/>
  <c r="N23" i="4" a="1"/>
  <c r="C23" i="4" a="1"/>
  <c r="E23" i="4" a="1"/>
  <c r="J23" i="4" a="1"/>
  <c r="F23" i="4" a="1"/>
  <c r="D23" i="4" a="1"/>
  <c r="G23" i="4" a="1"/>
  <c r="W23" i="4" a="1"/>
  <c r="T23" i="4" a="1"/>
  <c r="K23" i="4" a="1"/>
  <c r="P23" i="4" a="1"/>
  <c r="O23" i="4" a="1"/>
  <c r="L23" i="4" a="1"/>
  <c r="V23" i="4" a="1"/>
  <c r="U23" i="4" a="1"/>
  <c r="S23" i="4" a="1"/>
  <c r="D27" i="4" a="1"/>
  <c r="R27" i="4" a="1"/>
  <c r="Q27" i="4" a="1"/>
  <c r="W27" i="4" a="1"/>
  <c r="U27" i="4" a="1"/>
  <c r="M27" i="4" a="1"/>
  <c r="S27" i="4" a="1"/>
  <c r="F27" i="4" a="1"/>
  <c r="C27" i="4" a="1"/>
  <c r="L27" i="4" a="1"/>
  <c r="E27" i="4" a="1"/>
  <c r="I27" i="4" a="1"/>
  <c r="N27" i="4" a="1"/>
  <c r="J27" i="4" a="1"/>
  <c r="G27" i="4" a="1"/>
  <c r="H27" i="4" a="1"/>
  <c r="K27" i="4" a="1"/>
  <c r="P27" i="4" a="1"/>
  <c r="V27" i="4" a="1"/>
  <c r="T27" i="4" a="1"/>
  <c r="O27" i="4" a="1"/>
  <c r="F33" i="4" a="1"/>
  <c r="S33" i="4" a="1"/>
  <c r="M33" i="4" a="1"/>
  <c r="D33" i="4" a="1"/>
  <c r="W33" i="4" a="1"/>
  <c r="Q33" i="4" a="1"/>
  <c r="V33" i="4" a="1"/>
  <c r="G33" i="4" a="1"/>
  <c r="U33" i="4" a="1"/>
  <c r="H33" i="4" a="1"/>
  <c r="N33" i="4" a="1"/>
  <c r="L33" i="4" a="1"/>
  <c r="I33" i="4" a="1"/>
  <c r="O33" i="4" a="1"/>
  <c r="J33" i="4" a="1"/>
  <c r="P33" i="4" a="1"/>
  <c r="R33" i="4" a="1"/>
  <c r="E33" i="4" a="1"/>
  <c r="T33" i="4" a="1"/>
  <c r="K33" i="4" a="1"/>
  <c r="C33" i="4" a="1"/>
  <c r="N30" i="4" a="1"/>
  <c r="R30" i="4" a="1"/>
  <c r="E30" i="4" a="1"/>
  <c r="O30" i="4" a="1"/>
  <c r="I30" i="4" a="1"/>
  <c r="D30" i="4" a="1"/>
  <c r="C30" i="4" a="1"/>
  <c r="V30" i="4" a="1"/>
  <c r="M30" i="4" a="1"/>
  <c r="H30" i="4" a="1"/>
  <c r="W30" i="4" a="1"/>
  <c r="K30" i="4" a="1"/>
  <c r="Q30" i="4" a="1"/>
  <c r="P30" i="4" a="1"/>
  <c r="T30" i="4" a="1"/>
  <c r="L30" i="4" a="1"/>
  <c r="U30" i="4" a="1"/>
  <c r="F30" i="4" a="1"/>
  <c r="J30" i="4" a="1"/>
  <c r="S30" i="4" a="1"/>
  <c r="G30" i="4" a="1"/>
  <c r="U22" i="4" a="1"/>
  <c r="F22" i="4" a="1"/>
  <c r="W22" i="4" a="1"/>
  <c r="C22" i="4" a="1"/>
  <c r="L22" i="4" a="1"/>
  <c r="S22" i="4" a="1"/>
  <c r="J22" i="4" a="1"/>
  <c r="G22" i="4" a="1"/>
  <c r="Q22" i="4" a="1"/>
  <c r="P22" i="4" a="1"/>
  <c r="N22" i="4" a="1"/>
  <c r="E22" i="4" a="1"/>
  <c r="D22" i="4" a="1"/>
  <c r="T22" i="4" a="1"/>
  <c r="I22" i="4" a="1"/>
  <c r="K22" i="4" a="1"/>
  <c r="H22" i="4" a="1"/>
  <c r="V22" i="4" a="1"/>
  <c r="M22" i="4" a="1"/>
  <c r="R22" i="4" a="1"/>
  <c r="O22" i="4" a="1"/>
  <c r="F25" i="4" a="1"/>
  <c r="G25" i="4" a="1"/>
  <c r="U25" i="4" a="1"/>
  <c r="K25" i="4" a="1"/>
  <c r="J25" i="4" a="1"/>
  <c r="N25" i="4" a="1"/>
  <c r="O25" i="4" a="1"/>
  <c r="D25" i="4" a="1"/>
  <c r="H25" i="4" a="1"/>
  <c r="I25" i="4" a="1"/>
  <c r="Q25" i="4" a="1"/>
  <c r="S25" i="4" a="1"/>
  <c r="R25" i="4" a="1"/>
  <c r="W25" i="4" a="1"/>
  <c r="L25" i="4" a="1"/>
  <c r="E25" i="4" a="1"/>
  <c r="V25" i="4" a="1"/>
  <c r="M25" i="4" a="1"/>
  <c r="T25" i="4" a="1"/>
  <c r="P25" i="4" a="1"/>
  <c r="C25" i="4" a="1"/>
  <c r="P29" i="4" a="1"/>
  <c r="K29" i="4" a="1"/>
  <c r="T29" i="4" a="1"/>
  <c r="O29" i="4" a="1"/>
  <c r="M29" i="4" a="1"/>
  <c r="I29" i="4" a="1"/>
  <c r="H29" i="4" a="1"/>
  <c r="S29" i="4" a="1"/>
  <c r="J29" i="4" a="1"/>
  <c r="W29" i="4" a="1"/>
  <c r="Q29" i="4" a="1"/>
  <c r="D29" i="4" a="1"/>
  <c r="E29" i="4" a="1"/>
  <c r="V29" i="4" a="1"/>
  <c r="G29" i="4" a="1"/>
  <c r="F29" i="4" a="1"/>
  <c r="R29" i="4" a="1"/>
  <c r="N29" i="4" a="1"/>
  <c r="U29" i="4" a="1"/>
  <c r="C29" i="4" a="1"/>
  <c r="L29" i="4" a="1"/>
  <c r="D21" i="4" a="1"/>
  <c r="R21" i="4" a="1"/>
  <c r="L21" i="4" a="1"/>
  <c r="S21" i="4" a="1"/>
  <c r="N21" i="4" a="1"/>
  <c r="F21" i="4" a="1"/>
  <c r="Q21" i="4" a="1"/>
  <c r="W21" i="4" a="1"/>
  <c r="H21" i="4" a="1"/>
  <c r="J21" i="4" a="1"/>
  <c r="P21" i="4" a="1"/>
  <c r="T21" i="4" a="1"/>
  <c r="M21" i="4" a="1"/>
  <c r="E21" i="4" a="1"/>
  <c r="I21" i="4" a="1"/>
  <c r="C21" i="4" a="1"/>
  <c r="G21" i="4" a="1"/>
  <c r="V21" i="4" a="1"/>
  <c r="O21" i="4" a="1"/>
  <c r="U21" i="4" a="1"/>
  <c r="K21" i="4" a="1"/>
  <c r="H32" i="4" a="1"/>
  <c r="P32" i="4" a="1"/>
  <c r="W32" i="4" a="1"/>
  <c r="F32" i="4" a="1"/>
  <c r="C32" i="4" a="1"/>
  <c r="R32" i="4" a="1"/>
  <c r="K32" i="4" a="1"/>
  <c r="I32" i="4" a="1"/>
  <c r="Q32" i="4" a="1"/>
  <c r="N32" i="4" a="1"/>
  <c r="U32" i="4" a="1"/>
  <c r="V32" i="4" a="1"/>
  <c r="S32" i="4" a="1"/>
  <c r="L32" i="4" a="1"/>
  <c r="D32" i="4" a="1"/>
  <c r="G32" i="4" a="1"/>
  <c r="E32" i="4" a="1"/>
  <c r="O32" i="4" a="1"/>
  <c r="T32" i="4" a="1"/>
  <c r="M32" i="4" a="1"/>
  <c r="J32" i="4" a="1"/>
  <c r="D28" i="4" a="1"/>
  <c r="I28" i="4" a="1"/>
  <c r="T28" i="4" a="1"/>
  <c r="W28" i="4" a="1"/>
  <c r="M28" i="4" a="1"/>
  <c r="H28" i="4" a="1"/>
  <c r="V28" i="4" a="1"/>
  <c r="Q28" i="4" a="1"/>
  <c r="C28" i="4" a="1"/>
  <c r="S28" i="4" a="1"/>
  <c r="U28" i="4" a="1"/>
  <c r="J28" i="4" a="1"/>
  <c r="E28" i="4" a="1"/>
  <c r="F28" i="4" a="1"/>
  <c r="P28" i="4" a="1"/>
  <c r="L28" i="4" a="1"/>
  <c r="K28" i="4" a="1"/>
  <c r="N28" i="4" a="1"/>
  <c r="G28" i="4" a="1"/>
  <c r="R28" i="4" a="1"/>
  <c r="O28" i="4" a="1"/>
  <c r="AA61" i="4"/>
  <c r="AA60" i="4"/>
  <c r="AA62" i="4"/>
  <c r="B62" i="4" s="1" a="1"/>
  <c r="B59" i="4" a="1"/>
  <c r="B61" i="4" a="1"/>
  <c r="B17" i="4" a="1"/>
  <c r="F18" i="4" a="1"/>
  <c r="D18" i="4" a="1"/>
  <c r="C18" i="4" a="1"/>
  <c r="E18" i="4" a="1"/>
  <c r="D19" i="4" a="1"/>
  <c r="F19" i="4" a="1"/>
  <c r="C19" i="4" a="1"/>
  <c r="E19" i="4" a="1"/>
  <c r="C20" i="4" a="1"/>
  <c r="D20" i="4" a="1"/>
  <c r="E20" i="4" a="1"/>
  <c r="F20" i="4" a="1"/>
  <c r="U10" i="5"/>
  <c r="U12" i="5"/>
  <c r="AA11" i="5"/>
  <c r="AB11" i="5"/>
  <c r="C224" i="5"/>
  <c r="B224" i="5"/>
  <c r="D224" i="5" s="1"/>
  <c r="C223" i="5"/>
  <c r="B223" i="5"/>
  <c r="D223" i="5" s="1"/>
  <c r="C222" i="5"/>
  <c r="B222" i="5"/>
  <c r="D222" i="5" s="1"/>
  <c r="C221" i="5"/>
  <c r="B221" i="5"/>
  <c r="D221" i="5" s="1"/>
  <c r="C220" i="5"/>
  <c r="B220" i="5"/>
  <c r="D220" i="5" s="1"/>
  <c r="C219" i="5"/>
  <c r="B219" i="5"/>
  <c r="D219" i="5" s="1"/>
  <c r="C218" i="5"/>
  <c r="B218" i="5"/>
  <c r="D218" i="5" s="1"/>
  <c r="C217" i="5"/>
  <c r="B217" i="5"/>
  <c r="D217" i="5" s="1"/>
  <c r="C216" i="5"/>
  <c r="B216" i="5"/>
  <c r="D216" i="5" s="1"/>
  <c r="C215" i="5"/>
  <c r="B215" i="5"/>
  <c r="D215" i="5" s="1"/>
  <c r="C214" i="5"/>
  <c r="B214" i="5"/>
  <c r="D214" i="5" s="1"/>
  <c r="C213" i="5"/>
  <c r="B213" i="5"/>
  <c r="D213" i="5" s="1"/>
  <c r="C212" i="5"/>
  <c r="B212" i="5"/>
  <c r="D212" i="5" s="1"/>
  <c r="C211" i="5"/>
  <c r="B211" i="5"/>
  <c r="D211" i="5" s="1"/>
  <c r="C210" i="5"/>
  <c r="B210" i="5"/>
  <c r="D210" i="5" s="1"/>
  <c r="C209" i="5"/>
  <c r="B209" i="5"/>
  <c r="D209" i="5" s="1"/>
  <c r="C208" i="5"/>
  <c r="B208" i="5"/>
  <c r="D208" i="5" s="1"/>
  <c r="C207" i="5"/>
  <c r="B207" i="5"/>
  <c r="D207" i="5" s="1"/>
  <c r="C206" i="5"/>
  <c r="B206" i="5"/>
  <c r="D206" i="5" s="1"/>
  <c r="C205" i="5"/>
  <c r="B205" i="5"/>
  <c r="D205" i="5" s="1"/>
  <c r="C204" i="5"/>
  <c r="B204" i="5"/>
  <c r="D204" i="5" s="1"/>
  <c r="C203" i="5"/>
  <c r="B203" i="5"/>
  <c r="D203" i="5" s="1"/>
  <c r="C202" i="5"/>
  <c r="B202" i="5"/>
  <c r="D202" i="5" s="1"/>
  <c r="C201" i="5"/>
  <c r="B201" i="5"/>
  <c r="D201" i="5" s="1"/>
  <c r="C200" i="5"/>
  <c r="B200" i="5"/>
  <c r="D200" i="5" s="1"/>
  <c r="C199" i="5"/>
  <c r="B199" i="5"/>
  <c r="D199" i="5" s="1"/>
  <c r="C198" i="5"/>
  <c r="B198" i="5"/>
  <c r="D198" i="5" s="1"/>
  <c r="C197" i="5"/>
  <c r="B197" i="5"/>
  <c r="D197" i="5" s="1"/>
  <c r="C196" i="5"/>
  <c r="B196" i="5"/>
  <c r="D196" i="5" s="1"/>
  <c r="C195" i="5"/>
  <c r="B195" i="5"/>
  <c r="D195" i="5" s="1"/>
  <c r="C194" i="5"/>
  <c r="B194" i="5"/>
  <c r="D194" i="5" s="1"/>
  <c r="C193" i="5"/>
  <c r="B193" i="5"/>
  <c r="D193" i="5" s="1"/>
  <c r="C192" i="5"/>
  <c r="B192" i="5"/>
  <c r="D192" i="5" s="1"/>
  <c r="C191" i="5"/>
  <c r="B191" i="5"/>
  <c r="D191" i="5" s="1"/>
  <c r="C190" i="5"/>
  <c r="B190" i="5"/>
  <c r="D190" i="5" s="1"/>
  <c r="C189" i="5"/>
  <c r="B189" i="5"/>
  <c r="D189" i="5" s="1"/>
  <c r="C188" i="5"/>
  <c r="B188" i="5"/>
  <c r="D188" i="5" s="1"/>
  <c r="C187" i="5"/>
  <c r="B187" i="5"/>
  <c r="D187" i="5" s="1"/>
  <c r="C186" i="5"/>
  <c r="B186" i="5"/>
  <c r="D186" i="5" s="1"/>
  <c r="C185" i="5"/>
  <c r="B185" i="5"/>
  <c r="D185" i="5" s="1"/>
  <c r="C184" i="5"/>
  <c r="B184" i="5"/>
  <c r="D184" i="5" s="1"/>
  <c r="C183" i="5"/>
  <c r="B183" i="5"/>
  <c r="D183" i="5" s="1"/>
  <c r="C182" i="5"/>
  <c r="B182" i="5"/>
  <c r="D182" i="5" s="1"/>
  <c r="C181" i="5"/>
  <c r="B181" i="5"/>
  <c r="D181" i="5" s="1"/>
  <c r="C180" i="5"/>
  <c r="B180" i="5"/>
  <c r="D180" i="5" s="1"/>
  <c r="C179" i="5"/>
  <c r="B179" i="5"/>
  <c r="D179" i="5" s="1"/>
  <c r="C178" i="5"/>
  <c r="B178" i="5"/>
  <c r="D178" i="5" s="1"/>
  <c r="C177" i="5"/>
  <c r="B177" i="5"/>
  <c r="D177" i="5" s="1"/>
  <c r="C176" i="5"/>
  <c r="B176" i="5"/>
  <c r="D176" i="5" s="1"/>
  <c r="C175" i="5"/>
  <c r="B175" i="5"/>
  <c r="D175" i="5" s="1"/>
  <c r="C174" i="5"/>
  <c r="B174" i="5"/>
  <c r="D174" i="5" s="1"/>
  <c r="C173" i="5"/>
  <c r="B173" i="5"/>
  <c r="D173" i="5" s="1"/>
  <c r="C172" i="5"/>
  <c r="B172" i="5"/>
  <c r="D172" i="5" s="1"/>
  <c r="C171" i="5"/>
  <c r="B171" i="5"/>
  <c r="D171" i="5" s="1"/>
  <c r="C170" i="5"/>
  <c r="B170" i="5"/>
  <c r="D170" i="5" s="1"/>
  <c r="C169" i="5"/>
  <c r="B169" i="5"/>
  <c r="D169" i="5" s="1"/>
  <c r="C168" i="5"/>
  <c r="B168" i="5"/>
  <c r="D168" i="5" s="1"/>
  <c r="C167" i="5"/>
  <c r="B167" i="5"/>
  <c r="D167" i="5" s="1"/>
  <c r="C166" i="5"/>
  <c r="B166" i="5"/>
  <c r="D166" i="5" s="1"/>
  <c r="C165" i="5"/>
  <c r="B165" i="5"/>
  <c r="D165" i="5" s="1"/>
  <c r="C164" i="5"/>
  <c r="B164" i="5"/>
  <c r="D164" i="5" s="1"/>
  <c r="C163" i="5"/>
  <c r="B163" i="5"/>
  <c r="D163" i="5" s="1"/>
  <c r="C162" i="5"/>
  <c r="B162" i="5"/>
  <c r="D162" i="5" s="1"/>
  <c r="C161" i="5"/>
  <c r="B161" i="5"/>
  <c r="D161" i="5" s="1"/>
  <c r="C160" i="5"/>
  <c r="B160" i="5"/>
  <c r="D160" i="5" s="1"/>
  <c r="C159" i="5"/>
  <c r="B159" i="5"/>
  <c r="D159" i="5" s="1"/>
  <c r="C158" i="5"/>
  <c r="B158" i="5"/>
  <c r="D158" i="5" s="1"/>
  <c r="C157" i="5"/>
  <c r="B157" i="5"/>
  <c r="D157" i="5" s="1"/>
  <c r="C156" i="5"/>
  <c r="B156" i="5"/>
  <c r="D156" i="5" s="1"/>
  <c r="C155" i="5"/>
  <c r="B155" i="5"/>
  <c r="D155" i="5" s="1"/>
  <c r="C154" i="5"/>
  <c r="B154" i="5"/>
  <c r="D154" i="5" s="1"/>
  <c r="C153" i="5"/>
  <c r="B153" i="5"/>
  <c r="D153" i="5" s="1"/>
  <c r="C152" i="5"/>
  <c r="B152" i="5"/>
  <c r="D152" i="5" s="1"/>
  <c r="C151" i="5"/>
  <c r="B151" i="5"/>
  <c r="D151" i="5" s="1"/>
  <c r="C150" i="5"/>
  <c r="B150" i="5"/>
  <c r="D150" i="5" s="1"/>
  <c r="C149" i="5"/>
  <c r="B149" i="5"/>
  <c r="D149" i="5" s="1"/>
  <c r="C148" i="5"/>
  <c r="B148" i="5"/>
  <c r="D148" i="5" s="1"/>
  <c r="C147" i="5"/>
  <c r="B147" i="5"/>
  <c r="D147" i="5" s="1"/>
  <c r="C146" i="5"/>
  <c r="B146" i="5"/>
  <c r="D146" i="5" s="1"/>
  <c r="C145" i="5"/>
  <c r="B145" i="5"/>
  <c r="D145" i="5" s="1"/>
  <c r="C144" i="5"/>
  <c r="B144" i="5"/>
  <c r="D144" i="5" s="1"/>
  <c r="C143" i="5"/>
  <c r="B143" i="5"/>
  <c r="D143" i="5" s="1"/>
  <c r="C142" i="5"/>
  <c r="B142" i="5"/>
  <c r="D142" i="5" s="1"/>
  <c r="C141" i="5"/>
  <c r="B141" i="5"/>
  <c r="D141" i="5" s="1"/>
  <c r="C140" i="5"/>
  <c r="B140" i="5"/>
  <c r="D140" i="5" s="1"/>
  <c r="C139" i="5"/>
  <c r="B139" i="5"/>
  <c r="D139" i="5" s="1"/>
  <c r="C138" i="5"/>
  <c r="B138" i="5"/>
  <c r="D138" i="5" s="1"/>
  <c r="C137" i="5"/>
  <c r="B137" i="5"/>
  <c r="D137" i="5" s="1"/>
  <c r="C136" i="5"/>
  <c r="B136" i="5"/>
  <c r="D136" i="5" s="1"/>
  <c r="C135" i="5"/>
  <c r="B135" i="5"/>
  <c r="D135" i="5" s="1"/>
  <c r="C134" i="5"/>
  <c r="B134" i="5"/>
  <c r="D134" i="5" s="1"/>
  <c r="C133" i="5"/>
  <c r="B133" i="5"/>
  <c r="D133" i="5" s="1"/>
  <c r="C132" i="5"/>
  <c r="B132" i="5"/>
  <c r="D132" i="5" s="1"/>
  <c r="C131" i="5"/>
  <c r="B131" i="5"/>
  <c r="D131" i="5" s="1"/>
  <c r="C130" i="5"/>
  <c r="B130" i="5"/>
  <c r="D130" i="5" s="1"/>
  <c r="C129" i="5"/>
  <c r="B129" i="5"/>
  <c r="D129" i="5" s="1"/>
  <c r="C128" i="5"/>
  <c r="B128" i="5"/>
  <c r="D128" i="5" s="1"/>
  <c r="C127" i="5"/>
  <c r="B127" i="5"/>
  <c r="D127" i="5" s="1"/>
  <c r="C126" i="5"/>
  <c r="B126" i="5"/>
  <c r="D126" i="5" s="1"/>
  <c r="C125" i="5"/>
  <c r="B125" i="5"/>
  <c r="D125" i="5" s="1"/>
  <c r="C124" i="5"/>
  <c r="B124" i="5"/>
  <c r="D124" i="5" s="1"/>
  <c r="C123" i="5"/>
  <c r="B123" i="5"/>
  <c r="D123" i="5" s="1"/>
  <c r="C122" i="5"/>
  <c r="B122" i="5"/>
  <c r="D122" i="5" s="1"/>
  <c r="C121" i="5"/>
  <c r="B121" i="5"/>
  <c r="D121" i="5" s="1"/>
  <c r="C120" i="5"/>
  <c r="B120" i="5"/>
  <c r="D120" i="5" s="1"/>
  <c r="C119" i="5"/>
  <c r="B119" i="5"/>
  <c r="D119" i="5" s="1"/>
  <c r="C118" i="5"/>
  <c r="B118" i="5"/>
  <c r="D118" i="5" s="1"/>
  <c r="C117" i="5"/>
  <c r="B117" i="5"/>
  <c r="D117" i="5" s="1"/>
  <c r="C116" i="5"/>
  <c r="B116" i="5"/>
  <c r="D116" i="5" s="1"/>
  <c r="C115" i="5"/>
  <c r="B115" i="5"/>
  <c r="D115" i="5" s="1"/>
  <c r="C114" i="5"/>
  <c r="B114" i="5"/>
  <c r="D114" i="5" s="1"/>
  <c r="C113" i="5"/>
  <c r="B113" i="5"/>
  <c r="D113" i="5" s="1"/>
  <c r="C112" i="5"/>
  <c r="B112" i="5"/>
  <c r="D112" i="5" s="1"/>
  <c r="C111" i="5"/>
  <c r="B111" i="5"/>
  <c r="C110" i="5"/>
  <c r="B110" i="5"/>
  <c r="C109" i="5"/>
  <c r="B109" i="5"/>
  <c r="C108" i="5"/>
  <c r="B108" i="5"/>
  <c r="C107" i="5"/>
  <c r="B107" i="5"/>
  <c r="C106" i="5"/>
  <c r="B106" i="5"/>
  <c r="C105" i="5"/>
  <c r="B105" i="5"/>
  <c r="C104" i="5"/>
  <c r="B104" i="5"/>
  <c r="C103" i="5"/>
  <c r="B103" i="5"/>
  <c r="C102" i="5"/>
  <c r="B102" i="5"/>
  <c r="C101" i="5"/>
  <c r="B101" i="5"/>
  <c r="C100" i="5"/>
  <c r="B100" i="5"/>
  <c r="D100" i="5" s="1"/>
  <c r="C99" i="5"/>
  <c r="B99" i="5"/>
  <c r="D99" i="5" s="1"/>
  <c r="C98" i="5"/>
  <c r="B98" i="5"/>
  <c r="D98" i="5" s="1"/>
  <c r="C97" i="5"/>
  <c r="B97" i="5"/>
  <c r="C96" i="5"/>
  <c r="B96" i="5"/>
  <c r="C95" i="5"/>
  <c r="B95" i="5"/>
  <c r="C94" i="5"/>
  <c r="B94" i="5"/>
  <c r="C93" i="5"/>
  <c r="B93" i="5"/>
  <c r="C92" i="5"/>
  <c r="B92" i="5"/>
  <c r="C91" i="5"/>
  <c r="B91" i="5"/>
  <c r="C90" i="5"/>
  <c r="B90" i="5"/>
  <c r="C89" i="5"/>
  <c r="B89" i="5"/>
  <c r="C88" i="5"/>
  <c r="B88" i="5"/>
  <c r="C87" i="5"/>
  <c r="B87" i="5"/>
  <c r="C86" i="5"/>
  <c r="B86" i="5"/>
  <c r="C85" i="5"/>
  <c r="B85" i="5"/>
  <c r="C84" i="5"/>
  <c r="B84" i="5"/>
  <c r="C83" i="5"/>
  <c r="B83" i="5"/>
  <c r="C82" i="5"/>
  <c r="B82" i="5"/>
  <c r="C81" i="5"/>
  <c r="B81" i="5"/>
  <c r="C80" i="5"/>
  <c r="B80" i="5"/>
  <c r="C79" i="5"/>
  <c r="B79" i="5"/>
  <c r="C78" i="5"/>
  <c r="B78" i="5"/>
  <c r="C77" i="5"/>
  <c r="B77" i="5"/>
  <c r="C76" i="5"/>
  <c r="B76" i="5"/>
  <c r="C75" i="5"/>
  <c r="B75" i="5"/>
  <c r="C74" i="5"/>
  <c r="B74" i="5"/>
  <c r="C73" i="5"/>
  <c r="B73" i="5"/>
  <c r="C72" i="5"/>
  <c r="B72" i="5"/>
  <c r="C71" i="5"/>
  <c r="B71" i="5"/>
  <c r="C70" i="5"/>
  <c r="B70" i="5"/>
  <c r="C69" i="5"/>
  <c r="B69" i="5"/>
  <c r="D69" i="5" s="1"/>
  <c r="C68" i="5"/>
  <c r="B68" i="5"/>
  <c r="AE59" i="5"/>
  <c r="Y59" i="5"/>
  <c r="V59" i="5"/>
  <c r="AB59" i="5"/>
  <c r="Y58" i="5"/>
  <c r="V58" i="5"/>
  <c r="AE58" i="5"/>
  <c r="AB58" i="5"/>
  <c r="AE57" i="5"/>
  <c r="AB57" i="5"/>
  <c r="Y57" i="5"/>
  <c r="V57" i="5"/>
  <c r="P54" i="5"/>
  <c r="N54" i="5"/>
  <c r="O54" i="5" s="1"/>
  <c r="L54" i="5"/>
  <c r="J54" i="5"/>
  <c r="K54" i="5" s="1"/>
  <c r="H54" i="5"/>
  <c r="F54" i="5"/>
  <c r="D54" i="5"/>
  <c r="B54" i="5"/>
  <c r="P53" i="5"/>
  <c r="N53" i="5"/>
  <c r="O53" i="5" s="1"/>
  <c r="L53" i="5"/>
  <c r="J53" i="5"/>
  <c r="K53" i="5" s="1"/>
  <c r="H53" i="5"/>
  <c r="F53" i="5"/>
  <c r="D53" i="5"/>
  <c r="B53" i="5"/>
  <c r="Z52" i="5"/>
  <c r="S52" i="5"/>
  <c r="P52" i="5"/>
  <c r="N52" i="5"/>
  <c r="O52" i="5" s="1"/>
  <c r="L52" i="5"/>
  <c r="J52" i="5"/>
  <c r="K52" i="5" s="1"/>
  <c r="H52" i="5"/>
  <c r="F52" i="5"/>
  <c r="D52" i="5"/>
  <c r="B52" i="5"/>
  <c r="Z51" i="5"/>
  <c r="S51" i="5"/>
  <c r="P51" i="5"/>
  <c r="N51" i="5"/>
  <c r="O51" i="5" s="1"/>
  <c r="L51" i="5"/>
  <c r="J51" i="5"/>
  <c r="K51" i="5" s="1"/>
  <c r="H51" i="5"/>
  <c r="F51" i="5"/>
  <c r="D51" i="5"/>
  <c r="B51" i="5"/>
  <c r="Z50" i="5"/>
  <c r="S50" i="5"/>
  <c r="P50" i="5"/>
  <c r="N50" i="5"/>
  <c r="O50" i="5" s="1"/>
  <c r="L50" i="5"/>
  <c r="J50" i="5"/>
  <c r="K50" i="5" s="1"/>
  <c r="H50" i="5"/>
  <c r="F50" i="5"/>
  <c r="D50" i="5"/>
  <c r="B50" i="5"/>
  <c r="Z49" i="5"/>
  <c r="S49" i="5"/>
  <c r="P49" i="5"/>
  <c r="N49" i="5"/>
  <c r="O49" i="5" s="1"/>
  <c r="L49" i="5"/>
  <c r="J49" i="5"/>
  <c r="K49" i="5" s="1"/>
  <c r="H49" i="5"/>
  <c r="F49" i="5"/>
  <c r="D49" i="5"/>
  <c r="B49" i="5"/>
  <c r="P48" i="5"/>
  <c r="N48" i="5"/>
  <c r="O48" i="5" s="1"/>
  <c r="L48" i="5"/>
  <c r="J48" i="5"/>
  <c r="K48" i="5" s="1"/>
  <c r="H48" i="5"/>
  <c r="F48" i="5"/>
  <c r="D48" i="5"/>
  <c r="B48" i="5"/>
  <c r="P47" i="5"/>
  <c r="N47" i="5"/>
  <c r="O47" i="5" s="1"/>
  <c r="L47" i="5"/>
  <c r="J47" i="5"/>
  <c r="K47" i="5" s="1"/>
  <c r="H47" i="5"/>
  <c r="F47" i="5"/>
  <c r="D47" i="5"/>
  <c r="B47" i="5"/>
  <c r="P46" i="5"/>
  <c r="N46" i="5"/>
  <c r="O46" i="5" s="1"/>
  <c r="L46" i="5"/>
  <c r="J46" i="5"/>
  <c r="K46" i="5" s="1"/>
  <c r="H46" i="5"/>
  <c r="F46" i="5"/>
  <c r="D46" i="5"/>
  <c r="B46" i="5"/>
  <c r="P45" i="5"/>
  <c r="N45" i="5"/>
  <c r="O45" i="5" s="1"/>
  <c r="L45" i="5"/>
  <c r="J45" i="5"/>
  <c r="K45" i="5" s="1"/>
  <c r="H45" i="5"/>
  <c r="F45" i="5"/>
  <c r="D45" i="5"/>
  <c r="B45" i="5"/>
  <c r="P44" i="5"/>
  <c r="N44" i="5"/>
  <c r="O44" i="5" s="1"/>
  <c r="L44" i="5"/>
  <c r="J44" i="5"/>
  <c r="K44" i="5" s="1"/>
  <c r="H44" i="5"/>
  <c r="F44" i="5"/>
  <c r="D44" i="5"/>
  <c r="B44" i="5"/>
  <c r="P43" i="5"/>
  <c r="N43" i="5"/>
  <c r="O43" i="5" s="1"/>
  <c r="L43" i="5"/>
  <c r="J43" i="5"/>
  <c r="K43" i="5" s="1"/>
  <c r="H43" i="5"/>
  <c r="F43" i="5"/>
  <c r="D43" i="5"/>
  <c r="B43" i="5"/>
  <c r="P42" i="5"/>
  <c r="N42" i="5"/>
  <c r="O42" i="5" s="1"/>
  <c r="L42" i="5"/>
  <c r="J42" i="5"/>
  <c r="K42" i="5" s="1"/>
  <c r="H42" i="5"/>
  <c r="F42" i="5"/>
  <c r="D42" i="5"/>
  <c r="B42" i="5"/>
  <c r="P41" i="5"/>
  <c r="N41" i="5"/>
  <c r="O41" i="5" s="1"/>
  <c r="L41" i="5"/>
  <c r="J41" i="5"/>
  <c r="K41" i="5" s="1"/>
  <c r="H41" i="5"/>
  <c r="F41" i="5"/>
  <c r="D41" i="5"/>
  <c r="B41" i="5"/>
  <c r="P40" i="5"/>
  <c r="N40" i="5"/>
  <c r="O40" i="5" s="1"/>
  <c r="L40" i="5"/>
  <c r="J40" i="5"/>
  <c r="K40" i="5" s="1"/>
  <c r="H40" i="5"/>
  <c r="F40" i="5"/>
  <c r="D40" i="5"/>
  <c r="B40" i="5"/>
  <c r="X40" i="5"/>
  <c r="P39" i="5"/>
  <c r="N39" i="5"/>
  <c r="O39" i="5" s="1"/>
  <c r="L39" i="5"/>
  <c r="J39" i="5"/>
  <c r="K39" i="5" s="1"/>
  <c r="H39" i="5"/>
  <c r="F39" i="5"/>
  <c r="D39" i="5"/>
  <c r="B39" i="5"/>
  <c r="P38" i="5"/>
  <c r="N38" i="5"/>
  <c r="O38" i="5" s="1"/>
  <c r="L38" i="5"/>
  <c r="J38" i="5"/>
  <c r="K38" i="5" s="1"/>
  <c r="H38" i="5"/>
  <c r="F38" i="5"/>
  <c r="D38" i="5"/>
  <c r="B38" i="5"/>
  <c r="P37" i="5"/>
  <c r="N37" i="5"/>
  <c r="O37" i="5" s="1"/>
  <c r="L37" i="5"/>
  <c r="J37" i="5"/>
  <c r="K37" i="5" s="1"/>
  <c r="H37" i="5"/>
  <c r="F37" i="5"/>
  <c r="D37" i="5"/>
  <c r="B37" i="5"/>
  <c r="P36" i="5"/>
  <c r="N36" i="5"/>
  <c r="O36" i="5" s="1"/>
  <c r="L36" i="5"/>
  <c r="J36" i="5"/>
  <c r="K36" i="5" s="1"/>
  <c r="H36" i="5"/>
  <c r="F36" i="5"/>
  <c r="D36" i="5"/>
  <c r="B36" i="5"/>
  <c r="P35" i="5"/>
  <c r="N35" i="5"/>
  <c r="O35" i="5" s="1"/>
  <c r="L35" i="5"/>
  <c r="J35" i="5"/>
  <c r="K35" i="5" s="1"/>
  <c r="H35" i="5"/>
  <c r="F35" i="5"/>
  <c r="G35" i="5" s="1"/>
  <c r="D35" i="5"/>
  <c r="B35" i="5"/>
  <c r="P34" i="5"/>
  <c r="N34" i="5"/>
  <c r="O34" i="5" s="1"/>
  <c r="L34" i="5"/>
  <c r="J34" i="5"/>
  <c r="K34" i="5" s="1"/>
  <c r="H34" i="5"/>
  <c r="F34" i="5"/>
  <c r="D34" i="5"/>
  <c r="B34" i="5"/>
  <c r="P33" i="5"/>
  <c r="N33" i="5"/>
  <c r="O33" i="5" s="1"/>
  <c r="L33" i="5"/>
  <c r="J33" i="5"/>
  <c r="K33" i="5" s="1"/>
  <c r="H33" i="5"/>
  <c r="F33" i="5"/>
  <c r="D33" i="5"/>
  <c r="B33" i="5"/>
  <c r="P32" i="5"/>
  <c r="N32" i="5"/>
  <c r="O32" i="5" s="1"/>
  <c r="L32" i="5"/>
  <c r="J32" i="5"/>
  <c r="K32" i="5" s="1"/>
  <c r="H32" i="5"/>
  <c r="F32" i="5"/>
  <c r="D32" i="5"/>
  <c r="B32" i="5"/>
  <c r="P31" i="5"/>
  <c r="N31" i="5"/>
  <c r="O31" i="5" s="1"/>
  <c r="L31" i="5"/>
  <c r="J31" i="5"/>
  <c r="K31" i="5" s="1"/>
  <c r="H31" i="5"/>
  <c r="F31" i="5"/>
  <c r="D31" i="5"/>
  <c r="B31" i="5"/>
  <c r="P30" i="5"/>
  <c r="N30" i="5"/>
  <c r="O30" i="5" s="1"/>
  <c r="L30" i="5"/>
  <c r="J30" i="5"/>
  <c r="K30" i="5" s="1"/>
  <c r="H30" i="5"/>
  <c r="F30" i="5"/>
  <c r="D30" i="5"/>
  <c r="B30" i="5"/>
  <c r="P29" i="5"/>
  <c r="N29" i="5"/>
  <c r="O29" i="5" s="1"/>
  <c r="L29" i="5"/>
  <c r="J29" i="5"/>
  <c r="K29" i="5" s="1"/>
  <c r="H29" i="5"/>
  <c r="F29" i="5"/>
  <c r="D29" i="5"/>
  <c r="B29" i="5"/>
  <c r="P28" i="5"/>
  <c r="N28" i="5"/>
  <c r="O28" i="5" s="1"/>
  <c r="L28" i="5"/>
  <c r="J28" i="5"/>
  <c r="K28" i="5" s="1"/>
  <c r="H28" i="5"/>
  <c r="F28" i="5"/>
  <c r="D28" i="5"/>
  <c r="B28" i="5"/>
  <c r="P27" i="5"/>
  <c r="N27" i="5"/>
  <c r="O27" i="5" s="1"/>
  <c r="L27" i="5"/>
  <c r="J27" i="5"/>
  <c r="K27" i="5" s="1"/>
  <c r="H27" i="5"/>
  <c r="F27" i="5"/>
  <c r="D27" i="5"/>
  <c r="B27" i="5"/>
  <c r="P26" i="5"/>
  <c r="N26" i="5"/>
  <c r="O26" i="5" s="1"/>
  <c r="L26" i="5"/>
  <c r="J26" i="5"/>
  <c r="K26" i="5" s="1"/>
  <c r="H26" i="5"/>
  <c r="F26" i="5"/>
  <c r="D26" i="5"/>
  <c r="B26" i="5"/>
  <c r="P25" i="5"/>
  <c r="N25" i="5"/>
  <c r="O25" i="5" s="1"/>
  <c r="L25" i="5"/>
  <c r="J25" i="5"/>
  <c r="K25" i="5" s="1"/>
  <c r="H25" i="5"/>
  <c r="F25" i="5"/>
  <c r="D25" i="5"/>
  <c r="B25" i="5"/>
  <c r="P24" i="5"/>
  <c r="N24" i="5"/>
  <c r="O24" i="5" s="1"/>
  <c r="L24" i="5"/>
  <c r="J24" i="5"/>
  <c r="K24" i="5" s="1"/>
  <c r="H24" i="5"/>
  <c r="F24" i="5"/>
  <c r="D24" i="5"/>
  <c r="B24" i="5"/>
  <c r="P23" i="5"/>
  <c r="N23" i="5"/>
  <c r="O23" i="5" s="1"/>
  <c r="L23" i="5"/>
  <c r="J23" i="5"/>
  <c r="K23" i="5" s="1"/>
  <c r="H23" i="5"/>
  <c r="F23" i="5"/>
  <c r="D23" i="5"/>
  <c r="B23" i="5"/>
  <c r="P22" i="5"/>
  <c r="N22" i="5"/>
  <c r="O22" i="5" s="1"/>
  <c r="L22" i="5"/>
  <c r="J22" i="5"/>
  <c r="K22" i="5" s="1"/>
  <c r="H22" i="5"/>
  <c r="F22" i="5"/>
  <c r="D22" i="5"/>
  <c r="B22" i="5"/>
  <c r="P21" i="5"/>
  <c r="N21" i="5"/>
  <c r="O21" i="5" s="1"/>
  <c r="L21" i="5"/>
  <c r="J21" i="5"/>
  <c r="K21" i="5" s="1"/>
  <c r="H21" i="5"/>
  <c r="F21" i="5"/>
  <c r="D21" i="5"/>
  <c r="B21" i="5"/>
  <c r="P20" i="5"/>
  <c r="N20" i="5"/>
  <c r="O20" i="5" s="1"/>
  <c r="L20" i="5"/>
  <c r="J20" i="5"/>
  <c r="K20" i="5" s="1"/>
  <c r="H20" i="5"/>
  <c r="F20" i="5"/>
  <c r="D20" i="5"/>
  <c r="B20" i="5"/>
  <c r="P19" i="5"/>
  <c r="N19" i="5"/>
  <c r="O19" i="5" s="1"/>
  <c r="L19" i="5"/>
  <c r="J19" i="5"/>
  <c r="H19" i="5"/>
  <c r="F19" i="5"/>
  <c r="D19" i="5"/>
  <c r="B19" i="5"/>
  <c r="P18" i="5"/>
  <c r="N18" i="5"/>
  <c r="O18" i="5" s="1"/>
  <c r="L18" i="5"/>
  <c r="J18" i="5"/>
  <c r="H18" i="5"/>
  <c r="F18" i="5"/>
  <c r="D18" i="5"/>
  <c r="B18" i="5"/>
  <c r="P17" i="5"/>
  <c r="N17" i="5"/>
  <c r="O17" i="5" s="1"/>
  <c r="L17" i="5"/>
  <c r="J17" i="5"/>
  <c r="H17" i="5"/>
  <c r="F17" i="5"/>
  <c r="D17" i="5"/>
  <c r="B17" i="5"/>
  <c r="P16" i="5"/>
  <c r="N16" i="5"/>
  <c r="O16" i="5" s="1"/>
  <c r="L16" i="5"/>
  <c r="J16" i="5"/>
  <c r="H16" i="5"/>
  <c r="F16" i="5"/>
  <c r="D16" i="5"/>
  <c r="B16" i="5"/>
  <c r="C16" i="5" s="1"/>
  <c r="P12" i="5"/>
  <c r="AG12" i="5" s="1"/>
  <c r="J12" i="5"/>
  <c r="AA12" i="5" s="1"/>
  <c r="AG11" i="5"/>
  <c r="U11" i="5"/>
  <c r="AA10" i="5"/>
  <c r="S5" i="5"/>
  <c r="S3" i="5"/>
  <c r="AF2" i="5"/>
  <c r="S2" i="5"/>
  <c r="V20" i="4" a="1"/>
  <c r="B60" i="4" a="1"/>
  <c r="D101" i="5" l="1"/>
  <c r="D103" i="5"/>
  <c r="D105" i="5"/>
  <c r="D106" i="5" s="1"/>
  <c r="D107" i="5" s="1"/>
  <c r="D108" i="5" s="1"/>
  <c r="D109" i="5" s="1"/>
  <c r="D110" i="5" s="1"/>
  <c r="D111" i="5" s="1"/>
  <c r="D104" i="5"/>
  <c r="D102" i="5"/>
  <c r="D70" i="5"/>
  <c r="D71" i="5" s="1"/>
  <c r="D72" i="5" s="1"/>
  <c r="D73" i="5" s="1"/>
  <c r="D74" i="5" s="1"/>
  <c r="D75" i="5" s="1"/>
  <c r="D76" i="5" s="1"/>
  <c r="D77" i="5" s="1"/>
  <c r="D78" i="5" s="1"/>
  <c r="D79" i="5" s="1"/>
  <c r="D80" i="5" s="1"/>
  <c r="D81" i="5" s="1"/>
  <c r="D82" i="5" s="1"/>
  <c r="D83" i="5" s="1"/>
  <c r="D84" i="5" s="1"/>
  <c r="D85" i="5" s="1"/>
  <c r="D86" i="5" s="1"/>
  <c r="D87" i="5" s="1"/>
  <c r="D88" i="5" s="1"/>
  <c r="D89" i="5" s="1"/>
  <c r="D90" i="5" s="1"/>
  <c r="D91" i="5" s="1"/>
  <c r="D92" i="5" s="1"/>
  <c r="D93" i="5" s="1"/>
  <c r="D94" i="5" s="1"/>
  <c r="D95" i="5" s="1"/>
  <c r="D96" i="5" s="1"/>
  <c r="D97" i="5" s="1"/>
  <c r="X50" i="5"/>
  <c r="AB50" i="5" s="1"/>
  <c r="C62" i="4" a="1"/>
  <c r="E62" i="4" a="1"/>
  <c r="F62" i="4" a="1"/>
  <c r="D62" i="4" a="1"/>
  <c r="C60" i="4" s="1" a="1"/>
  <c r="G36" i="5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K16" i="5" s="1"/>
  <c r="K17" i="5" s="1"/>
  <c r="K18" i="5" s="1"/>
  <c r="K19" i="5" s="1"/>
  <c r="C17" i="5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AD52" i="5"/>
  <c r="C45" i="5"/>
  <c r="C46" i="5" s="1"/>
  <c r="C47" i="5" s="1"/>
  <c r="C48" i="5" s="1"/>
  <c r="C49" i="5" s="1"/>
  <c r="C50" i="5" s="1"/>
  <c r="C51" i="5" s="1"/>
  <c r="C52" i="5" s="1"/>
  <c r="C53" i="5" s="1"/>
  <c r="C54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AD49" i="5"/>
  <c r="AD50" i="5"/>
  <c r="AD51" i="5"/>
  <c r="X52" i="5"/>
  <c r="AB52" i="5" s="1"/>
  <c r="AF52" i="5" s="1"/>
  <c r="X51" i="5"/>
  <c r="AB51" i="5" s="1"/>
  <c r="N78" i="4"/>
  <c r="E78" i="4"/>
  <c r="S81" i="4"/>
  <c r="N81" i="4"/>
  <c r="I81" i="4"/>
  <c r="E81" i="4"/>
  <c r="S80" i="4"/>
  <c r="N80" i="4"/>
  <c r="I80" i="4"/>
  <c r="E80" i="4"/>
  <c r="S79" i="4"/>
  <c r="N79" i="4"/>
  <c r="I79" i="4"/>
  <c r="E79" i="4"/>
  <c r="I53" i="4"/>
  <c r="C53" i="4"/>
  <c r="B46" i="4"/>
  <c r="B44" i="4"/>
  <c r="U20" i="4" a="1"/>
  <c r="E61" i="4" a="1"/>
  <c r="C59" i="4" a="1"/>
  <c r="V61" i="4" a="1"/>
  <c r="E59" i="4" a="1"/>
  <c r="R61" i="4" a="1"/>
  <c r="S61" i="4" a="1"/>
  <c r="C61" i="4" a="1"/>
  <c r="F59" i="4" a="1"/>
  <c r="F61" i="4" a="1"/>
  <c r="U61" i="4" a="1"/>
  <c r="U59" i="4" a="1"/>
  <c r="D59" i="4" a="1"/>
  <c r="D61" i="4" a="1"/>
  <c r="Q61" i="4" a="1"/>
  <c r="T61" i="4" a="1"/>
  <c r="F17" i="4" a="1"/>
  <c r="E17" i="4" a="1"/>
  <c r="C17" i="4" a="1"/>
  <c r="D17" i="4" a="1"/>
  <c r="J82" i="5" l="1"/>
  <c r="AF51" i="5"/>
  <c r="J81" i="5" s="1"/>
  <c r="AF50" i="5"/>
  <c r="J80" i="5" s="1"/>
  <c r="F60" i="4" a="1"/>
  <c r="E60" i="4" a="1"/>
  <c r="D60" i="4" a="1"/>
  <c r="V59" i="4" a="1"/>
  <c r="S59" i="4" a="1"/>
  <c r="T59" i="4" a="1"/>
  <c r="S46" i="5" l="1"/>
  <c r="S47" i="5"/>
  <c r="S48" i="5"/>
  <c r="S45" i="5"/>
  <c r="S41" i="5"/>
  <c r="S42" i="5"/>
  <c r="S43" i="5"/>
  <c r="S44" i="5"/>
  <c r="O59" i="4" a="1"/>
  <c r="I59" i="4" a="1"/>
  <c r="K59" i="4" a="1"/>
  <c r="AD47" i="5" l="1"/>
  <c r="AD45" i="5"/>
  <c r="Z48" i="5"/>
  <c r="X49" i="5" s="1"/>
  <c r="AB49" i="5" s="1"/>
  <c r="AF49" i="5" s="1"/>
  <c r="J79" i="5" s="1"/>
  <c r="AD48" i="5"/>
  <c r="Z47" i="5"/>
  <c r="X48" i="5" s="1"/>
  <c r="AD46" i="5"/>
  <c r="Z45" i="5"/>
  <c r="X46" i="5" s="1"/>
  <c r="Z46" i="5"/>
  <c r="X47" i="5" s="1"/>
  <c r="Z44" i="5"/>
  <c r="X45" i="5" s="1"/>
  <c r="AD42" i="5"/>
  <c r="Z43" i="5"/>
  <c r="X44" i="5" s="1"/>
  <c r="S40" i="5"/>
  <c r="Z41" i="5"/>
  <c r="Z40" i="5"/>
  <c r="X41" i="5" s="1"/>
  <c r="Z42" i="5"/>
  <c r="X43" i="5" s="1"/>
  <c r="AD43" i="5"/>
  <c r="AD44" i="5"/>
  <c r="O60" i="4" a="1"/>
  <c r="V60" i="4" a="1"/>
  <c r="U60" i="4" a="1"/>
  <c r="T60" i="4" a="1"/>
  <c r="S60" i="4" a="1"/>
  <c r="Q60" i="4" a="1"/>
  <c r="G59" i="4" a="1"/>
  <c r="J59" i="4" a="1"/>
  <c r="R59" i="4" a="1"/>
  <c r="P59" i="4" a="1"/>
  <c r="L59" i="4" a="1"/>
  <c r="M59" i="4" a="1"/>
  <c r="Q59" i="4" a="1"/>
  <c r="AB48" i="5" l="1"/>
  <c r="AB46" i="5"/>
  <c r="AF46" i="5" s="1"/>
  <c r="J76" i="5" s="1"/>
  <c r="AB47" i="5"/>
  <c r="AB44" i="5"/>
  <c r="AF44" i="5" s="1"/>
  <c r="AF48" i="5"/>
  <c r="J78" i="5" s="1"/>
  <c r="AB45" i="5"/>
  <c r="AF45" i="5" s="1"/>
  <c r="J75" i="5" s="1"/>
  <c r="AB41" i="5"/>
  <c r="X42" i="5"/>
  <c r="AB42" i="5" s="1"/>
  <c r="AD41" i="5"/>
  <c r="AB43" i="5"/>
  <c r="AD40" i="5"/>
  <c r="AB40" i="5"/>
  <c r="M19" i="4" a="1"/>
  <c r="U19" i="4" a="1"/>
  <c r="I19" i="4" a="1"/>
  <c r="O19" i="4" a="1"/>
  <c r="K19" i="4" a="1"/>
  <c r="I60" i="4" a="1"/>
  <c r="M60" i="4" a="1"/>
  <c r="G60" i="4" a="1"/>
  <c r="K60" i="4" a="1"/>
  <c r="P60" i="4" a="1"/>
  <c r="R60" i="4" a="1"/>
  <c r="H59" i="4" a="1"/>
  <c r="N59" i="4" a="1"/>
  <c r="U17" i="4" a="1"/>
  <c r="S17" i="4" a="1"/>
  <c r="T17" i="4" a="1"/>
  <c r="AF47" i="5"/>
  <c r="J74" i="5"/>
  <c r="AF42" i="5"/>
  <c r="AF41" i="5"/>
  <c r="AF43" i="5"/>
  <c r="U71" i="5"/>
  <c r="AF40" i="5"/>
  <c r="V19" i="4" a="1"/>
  <c r="G19" i="4" a="1"/>
  <c r="J19" i="4" a="1"/>
  <c r="Q19" i="4" a="1"/>
  <c r="L19" i="4" a="1"/>
  <c r="S19" i="4" a="1"/>
  <c r="N19" i="4" a="1"/>
  <c r="P19" i="4" a="1"/>
  <c r="N60" i="4" a="1"/>
  <c r="L60" i="4" a="1"/>
  <c r="J60" i="4" a="1"/>
  <c r="H60" i="4" a="1"/>
  <c r="O61" i="4" a="1"/>
  <c r="V17" i="4" a="1"/>
  <c r="J77" i="5"/>
  <c r="J73" i="5"/>
  <c r="J71" i="5"/>
  <c r="J70" i="5"/>
  <c r="J72" i="5"/>
  <c r="H19" i="4" a="1"/>
  <c r="O62" i="4" a="1"/>
  <c r="G62" i="4" a="1"/>
  <c r="U62" i="4" a="1"/>
  <c r="R19" i="4" a="1"/>
  <c r="M62" i="4" a="1"/>
  <c r="K62" i="4" a="1"/>
  <c r="S62" i="4" a="1"/>
  <c r="T19" i="4" a="1"/>
  <c r="Q62" i="4" a="1"/>
  <c r="I62" i="4" a="1"/>
  <c r="P61" i="4" a="1"/>
  <c r="G61" i="4" a="1"/>
  <c r="K61" i="4" a="1"/>
  <c r="W59" i="4" a="1"/>
  <c r="I61" i="4" a="1"/>
  <c r="M61" i="4" a="1"/>
  <c r="U69" i="5" l="1"/>
  <c r="U73" i="5" s="1"/>
  <c r="AF54" i="5" s="1"/>
  <c r="R62" i="4" a="1"/>
  <c r="N62" i="4" a="1"/>
  <c r="L62" i="4" a="1"/>
  <c r="J62" i="4" a="1"/>
  <c r="W19" i="4" a="1"/>
  <c r="H62" i="4" a="1"/>
  <c r="T62" i="4" a="1"/>
  <c r="V62" i="4" a="1"/>
  <c r="P62" i="4" a="1"/>
  <c r="W60" i="4" a="1"/>
  <c r="L61" i="4" a="1"/>
  <c r="N61" i="4" a="1"/>
  <c r="H61" i="4" a="1"/>
  <c r="J61" i="4" a="1"/>
  <c r="O17" i="4" a="1"/>
  <c r="K18" i="4" a="1"/>
  <c r="I18" i="4" a="1"/>
  <c r="W61" i="4" a="1"/>
  <c r="K17" i="4" a="1"/>
  <c r="I17" i="4" a="1"/>
  <c r="M17" i="4" a="1"/>
  <c r="P17" i="4" a="1"/>
  <c r="Q17" i="4" a="1"/>
  <c r="G17" i="4" a="1"/>
  <c r="Q20" i="4" a="1"/>
  <c r="Q18" i="4" a="1"/>
  <c r="T18" i="4" a="1"/>
  <c r="W62" i="4" a="1"/>
  <c r="U18" i="4" a="1"/>
  <c r="S20" i="4" a="1"/>
  <c r="O18" i="4" a="1"/>
  <c r="L18" i="4" a="1"/>
  <c r="S18" i="4" a="1"/>
  <c r="G18" i="4" a="1"/>
  <c r="M18" i="4" a="1"/>
  <c r="J18" i="4" a="1"/>
  <c r="R17" i="4" a="1"/>
  <c r="L17" i="4" a="1"/>
  <c r="H17" i="4" a="1"/>
  <c r="J17" i="4" a="1"/>
  <c r="N17" i="4" a="1"/>
  <c r="N18" i="4" a="1"/>
  <c r="R20" i="4" a="1"/>
  <c r="V18" i="4" a="1"/>
  <c r="P18" i="4" a="1"/>
  <c r="T20" i="4" a="1"/>
  <c r="H18" i="4" a="1"/>
  <c r="R18" i="4" a="1"/>
  <c r="W17" i="4" a="1"/>
  <c r="W18" i="4" a="1"/>
  <c r="I20" i="4" a="1"/>
  <c r="M20" i="4" a="1"/>
  <c r="K20" i="4" a="1"/>
  <c r="G20" i="4" a="1"/>
  <c r="O20" i="4" a="1"/>
  <c r="J20" i="4" a="1"/>
  <c r="L20" i="4" a="1"/>
  <c r="P20" i="4" a="1"/>
  <c r="N20" i="4" a="1"/>
  <c r="H20" i="4" a="1"/>
  <c r="W20" i="4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<sst xmlns="http://schemas.openxmlformats.org/spreadsheetml/2006/main" count="250" uniqueCount="103">
  <si>
    <t>LAB</t>
  </si>
  <si>
    <t>EMPLOYER</t>
  </si>
  <si>
    <t>CONSULTANT</t>
  </si>
  <si>
    <t>CONTRACTOR</t>
  </si>
  <si>
    <t>Dynamic Cone Penetration Test</t>
  </si>
  <si>
    <t>Road ID</t>
  </si>
  <si>
    <t>Road Name</t>
  </si>
  <si>
    <t>Report No.</t>
  </si>
  <si>
    <t>Test Location</t>
  </si>
  <si>
    <t>Off set (m)</t>
  </si>
  <si>
    <t>Date of Test</t>
  </si>
  <si>
    <t>Depth of hole (mm)</t>
  </si>
  <si>
    <t>Contractor</t>
  </si>
  <si>
    <t>Consultant</t>
  </si>
  <si>
    <t>Tested By</t>
  </si>
  <si>
    <t>Checked By</t>
  </si>
  <si>
    <t xml:space="preserve">Name </t>
  </si>
  <si>
    <t xml:space="preserve">Designation </t>
  </si>
  <si>
    <t>MT</t>
  </si>
  <si>
    <t>ME</t>
  </si>
  <si>
    <t xml:space="preserve">Signature </t>
  </si>
  <si>
    <t xml:space="preserve">Date </t>
  </si>
  <si>
    <t>CBR Relationship</t>
  </si>
  <si>
    <t>Layer Characteristics as Determined by the DCP Test</t>
  </si>
  <si>
    <t>Layer</t>
  </si>
  <si>
    <t>Start</t>
  </si>
  <si>
    <t>End</t>
  </si>
  <si>
    <t>Thickness</t>
  </si>
  <si>
    <t>Blows</t>
  </si>
  <si>
    <t>Strength</t>
  </si>
  <si>
    <t>(mm)</t>
  </si>
  <si>
    <t>CBR (%)</t>
  </si>
  <si>
    <t>(N0.)</t>
  </si>
  <si>
    <t>Test Results</t>
  </si>
  <si>
    <t>Depth</t>
  </si>
  <si>
    <t>Cum.Blows</t>
  </si>
  <si>
    <t>Zero Reading (mm)</t>
  </si>
  <si>
    <t>Checked By / Witnessed By</t>
  </si>
  <si>
    <t>Penetration</t>
  </si>
  <si>
    <t>Input Reading Here</t>
  </si>
  <si>
    <t>Select</t>
  </si>
  <si>
    <t>Chainage</t>
  </si>
  <si>
    <t>+</t>
  </si>
  <si>
    <t>Correct data points</t>
  </si>
  <si>
    <t>LOT number</t>
  </si>
  <si>
    <t xml:space="preserve">Total road distant </t>
  </si>
  <si>
    <t>Km</t>
  </si>
  <si>
    <t>Reviewed By</t>
  </si>
  <si>
    <t>=</t>
  </si>
  <si>
    <r>
      <t xml:space="preserve">LOG </t>
    </r>
    <r>
      <rPr>
        <i/>
        <sz val="6"/>
        <color theme="1"/>
        <rFont val="Times New Roman"/>
        <family val="1"/>
      </rPr>
      <t>10</t>
    </r>
    <r>
      <rPr>
        <i/>
        <sz val="10"/>
        <color theme="1"/>
        <rFont val="Times New Roman"/>
        <family val="1"/>
      </rPr>
      <t xml:space="preserve"> (CBR) </t>
    </r>
  </si>
  <si>
    <r>
      <t>X LOG</t>
    </r>
    <r>
      <rPr>
        <i/>
        <sz val="6"/>
        <color theme="1"/>
        <rFont val="Times New Roman"/>
        <family val="1"/>
      </rPr>
      <t xml:space="preserve">10 </t>
    </r>
    <r>
      <rPr>
        <i/>
        <sz val="10"/>
        <color theme="1"/>
        <rFont val="Times New Roman"/>
        <family val="1"/>
      </rPr>
      <t>(mm/blow)</t>
    </r>
  </si>
  <si>
    <t>Equivalent CBR</t>
  </si>
  <si>
    <t>Calculating Equalent CBR</t>
  </si>
  <si>
    <t>Weighted Thickness-CBR Products</t>
  </si>
  <si>
    <t>Total Thickness Sum</t>
  </si>
  <si>
    <t>Sum Weighted Thickness-CBR Products</t>
  </si>
  <si>
    <t>Equalent CBR</t>
  </si>
  <si>
    <t xml:space="preserve">Reading </t>
  </si>
  <si>
    <t xml:space="preserve">No of </t>
  </si>
  <si>
    <t xml:space="preserve">Total </t>
  </si>
  <si>
    <t>ROAD INVESTIGATION DCP TEST RESULT SUMMARY - SHOULDER</t>
  </si>
  <si>
    <t>Test Report  No</t>
  </si>
  <si>
    <t>Test  Location</t>
  </si>
  <si>
    <t xml:space="preserve">DCP Resilt </t>
  </si>
  <si>
    <t>Side</t>
  </si>
  <si>
    <t xml:space="preserve">Offset </t>
  </si>
  <si>
    <t>Layer- 01</t>
  </si>
  <si>
    <t>Layer- 02</t>
  </si>
  <si>
    <t>Layer- 03</t>
  </si>
  <si>
    <t>Layer- 04</t>
  </si>
  <si>
    <t>Layer- 05</t>
  </si>
  <si>
    <t>Layer- 06</t>
  </si>
  <si>
    <t>Layer- 07</t>
  </si>
  <si>
    <t>Layer- 08</t>
  </si>
  <si>
    <t>CBR</t>
  </si>
  <si>
    <t>(m)</t>
  </si>
  <si>
    <t>Layer Tk.</t>
  </si>
  <si>
    <t>ROAD INVESTIGATION DCP TEST RESULT SUMMARY - CARRIGEWAY</t>
  </si>
  <si>
    <t>The Carrigeway report file names</t>
  </si>
  <si>
    <t xml:space="preserve">The shoulder report file names </t>
  </si>
  <si>
    <t>New Work Book Needablity</t>
  </si>
  <si>
    <t>New Work Book Name</t>
  </si>
  <si>
    <t>Closebility</t>
  </si>
  <si>
    <t>Defoult Values</t>
  </si>
  <si>
    <t>Empty</t>
  </si>
  <si>
    <t>DCP_Test_Report_Template</t>
  </si>
  <si>
    <t>Maximum Allowed MSTD</t>
  </si>
  <si>
    <t>Test data</t>
  </si>
  <si>
    <t>LHS</t>
  </si>
  <si>
    <t>Validity</t>
  </si>
  <si>
    <t>PASS</t>
  </si>
  <si>
    <t>To increase sensitivity need to decrease the value</t>
  </si>
  <si>
    <t>Enetr Name</t>
  </si>
  <si>
    <t>Enter Name</t>
  </si>
  <si>
    <t>Enetr Company Name</t>
  </si>
  <si>
    <t>Project Name</t>
  </si>
  <si>
    <t>LOGO</t>
  </si>
  <si>
    <t>num</t>
  </si>
  <si>
    <t>ID</t>
  </si>
  <si>
    <t>Report Num</t>
  </si>
  <si>
    <t>date</t>
  </si>
  <si>
    <t>Road name</t>
  </si>
  <si>
    <t>Logo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</si>
</sst>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44" x14ac:knownFonts="1">
    <font>
      <sz val="11"/>
      <color theme="1"/>
      <name val="Aptos Narrow"/>
      <family val="2"/>
      <scheme val="minor"/>
    </font>
    <font>
      <b/>
      <sz val="26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6"/>
      <color theme="1"/>
      <name val="Times New Roman"/>
      <family val="1"/>
    </font>
    <font>
      <sz val="11"/>
      <color theme="1"/>
      <name val="Times New Roman"/>
      <family val="1"/>
    </font>
    <font>
      <i/>
      <sz val="10"/>
      <name val="Times New Roman"/>
      <family val="1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b/>
      <sz val="10"/>
      <color indexed="10"/>
      <name val="Arial"/>
      <family val="2"/>
    </font>
    <font>
      <b/>
      <u/>
      <sz val="10"/>
      <name val="Arial"/>
      <family val="2"/>
    </font>
    <font>
      <b/>
      <u/>
      <sz val="1"/>
      <name val="Arial"/>
      <family val="2"/>
    </font>
    <font>
      <sz val="6"/>
      <name val="Arial"/>
      <family val="2"/>
    </font>
    <font>
      <i/>
      <sz val="6"/>
      <color theme="1"/>
      <name val="Times New Roman"/>
      <family val="1"/>
    </font>
    <font>
      <b/>
      <sz val="10"/>
      <name val="Times New Roman"/>
      <family val="1"/>
    </font>
    <font>
      <sz val="11"/>
      <color rgb="FFFF0000"/>
      <name val="Aptos Narrow"/>
      <family val="2"/>
      <scheme val="minor"/>
    </font>
    <font>
      <sz val="11"/>
      <color rgb="FFFF0000"/>
      <name val="Times New Roman"/>
      <family val="1"/>
    </font>
    <font>
      <sz val="9"/>
      <color theme="1"/>
      <name val="Aptos Narrow"/>
      <family val="2"/>
      <scheme val="minor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b/>
      <sz val="14"/>
      <name val="Times New Roman"/>
      <family val="1"/>
    </font>
    <font>
      <b/>
      <sz val="8"/>
      <color rgb="FF000000"/>
      <name val="Times New Roman"/>
      <family val="1"/>
    </font>
    <font>
      <b/>
      <sz val="12"/>
      <color rgb="FF000000"/>
      <name val="Times New Roman"/>
      <family val="1"/>
    </font>
    <font>
      <sz val="12"/>
      <name val="Times New Roman"/>
      <family val="1"/>
    </font>
    <font>
      <b/>
      <sz val="13"/>
      <color theme="1"/>
      <name val="Times New Roman"/>
      <family val="1"/>
    </font>
    <font>
      <b/>
      <sz val="13"/>
      <name val="Times New Roman"/>
      <family val="1"/>
    </font>
    <font>
      <sz val="12"/>
      <color theme="1"/>
      <name val="Times New Roman"/>
      <family val="1"/>
    </font>
    <font>
      <sz val="14"/>
      <name val="Times New Roman"/>
      <family val="1"/>
    </font>
    <font>
      <sz val="11"/>
      <name val="Times New Roman"/>
      <family val="1"/>
    </font>
    <font>
      <b/>
      <sz val="11"/>
      <color theme="1"/>
      <name val="Times New Roman"/>
      <family val="1"/>
    </font>
    <font>
      <b/>
      <sz val="11"/>
      <name val="Segoe UI"/>
      <family val="2"/>
    </font>
    <font>
      <b/>
      <sz val="10"/>
      <name val="Arial"/>
      <family val="2"/>
    </font>
    <font>
      <b/>
      <sz val="18"/>
      <name val="Times New Roman"/>
      <family val="1"/>
    </font>
    <font>
      <sz val="16"/>
      <name val="Times New Roman"/>
      <family val="1"/>
    </font>
    <font>
      <sz val="16"/>
      <color theme="1"/>
      <name val="Aptos Narrow"/>
      <family val="2"/>
      <scheme val="minor"/>
    </font>
    <font>
      <sz val="16"/>
      <color theme="1"/>
      <name val="Times New Roman"/>
      <family val="1"/>
    </font>
    <font>
      <b/>
      <sz val="18"/>
      <color rgb="FFFF0000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 tint="-0.499984740745262"/>
        <bgColor indexed="64"/>
      </patternFill>
    </fill>
  </fills>
  <borders count="9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486">
    <xf numFmtId="0" fontId="0" fillId="0" borderId="0" xfId="0"/>
    <xf numFmtId="0" fontId="11" fillId="0" borderId="0" xfId="0" applyFont="1"/>
    <xf numFmtId="0" fontId="14" fillId="0" borderId="9" xfId="0" applyFont="1" applyBorder="1" applyAlignment="1">
      <alignment horizontal="left" indent="1"/>
    </xf>
    <xf numFmtId="0" fontId="14" fillId="0" borderId="9" xfId="0" applyFont="1" applyBorder="1" applyAlignment="1">
      <alignment horizontal="left" vertical="center" indent="1"/>
    </xf>
    <xf numFmtId="0" fontId="8" fillId="0" borderId="20" xfId="0" applyFont="1" applyBorder="1" applyAlignment="1">
      <alignment horizontal="center" vertical="center" wrapText="1"/>
    </xf>
    <xf numFmtId="0" fontId="11" fillId="0" borderId="2" xfId="0" applyFont="1" applyBorder="1"/>
    <xf numFmtId="0" fontId="3" fillId="0" borderId="5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 wrapText="1"/>
    </xf>
    <xf numFmtId="1" fontId="9" fillId="0" borderId="9" xfId="0" applyNumberFormat="1" applyFont="1" applyBorder="1" applyAlignment="1">
      <alignment horizontal="center" vertical="center"/>
    </xf>
    <xf numFmtId="165" fontId="9" fillId="0" borderId="9" xfId="0" applyNumberFormat="1" applyFont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11" xfId="0" applyFill="1" applyBorder="1" applyAlignment="1">
      <alignment horizontal="left" indent="1"/>
    </xf>
    <xf numFmtId="0" fontId="20" fillId="0" borderId="5" xfId="0" applyFont="1" applyBorder="1" applyAlignment="1">
      <alignment vertical="center"/>
    </xf>
    <xf numFmtId="0" fontId="7" fillId="0" borderId="8" xfId="0" applyFont="1" applyBorder="1" applyAlignment="1">
      <alignment horizontal="left" vertical="center" indent="1"/>
    </xf>
    <xf numFmtId="0" fontId="9" fillId="0" borderId="9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1" fontId="14" fillId="0" borderId="9" xfId="0" applyNumberFormat="1" applyFont="1" applyBorder="1" applyAlignment="1">
      <alignment horizontal="left" vertical="center" indent="3"/>
    </xf>
    <xf numFmtId="0" fontId="11" fillId="0" borderId="9" xfId="0" applyFont="1" applyBorder="1"/>
    <xf numFmtId="0" fontId="14" fillId="0" borderId="9" xfId="0" applyFont="1" applyBorder="1"/>
    <xf numFmtId="0" fontId="14" fillId="0" borderId="9" xfId="0" applyFont="1" applyBorder="1" applyAlignment="1">
      <alignment horizontal="right" vertical="center"/>
    </xf>
    <xf numFmtId="0" fontId="11" fillId="4" borderId="0" xfId="0" applyFont="1" applyFill="1"/>
    <xf numFmtId="0" fontId="9" fillId="0" borderId="3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3" xfId="0" applyFont="1" applyBorder="1" applyAlignment="1">
      <alignment horizontal="center" vertical="center"/>
    </xf>
    <xf numFmtId="0" fontId="7" fillId="0" borderId="11" xfId="0" applyFont="1" applyBorder="1" applyAlignment="1">
      <alignment horizontal="left" vertical="center" indent="1"/>
    </xf>
    <xf numFmtId="0" fontId="8" fillId="0" borderId="54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8" fillId="0" borderId="55" xfId="0" applyFont="1" applyBorder="1" applyAlignment="1">
      <alignment horizontal="center" vertical="center" wrapText="1"/>
    </xf>
    <xf numFmtId="0" fontId="9" fillId="0" borderId="63" xfId="0" applyFont="1" applyBorder="1" applyAlignment="1">
      <alignment horizontal="center" vertical="center"/>
    </xf>
    <xf numFmtId="0" fontId="9" fillId="0" borderId="63" xfId="0" applyFont="1" applyBorder="1" applyAlignment="1">
      <alignment horizontal="center" vertical="center" wrapText="1"/>
    </xf>
    <xf numFmtId="1" fontId="9" fillId="0" borderId="63" xfId="0" applyNumberFormat="1" applyFont="1" applyBorder="1" applyAlignment="1">
      <alignment horizontal="center" vertical="center"/>
    </xf>
    <xf numFmtId="0" fontId="9" fillId="0" borderId="64" xfId="0" applyFont="1" applyBorder="1" applyAlignment="1">
      <alignment horizontal="center" vertical="center"/>
    </xf>
    <xf numFmtId="0" fontId="9" fillId="0" borderId="64" xfId="0" applyFont="1" applyBorder="1" applyAlignment="1">
      <alignment horizontal="center" vertical="center" wrapText="1"/>
    </xf>
    <xf numFmtId="1" fontId="9" fillId="0" borderId="64" xfId="0" applyNumberFormat="1" applyFont="1" applyBorder="1" applyAlignment="1">
      <alignment horizontal="center" vertical="center"/>
    </xf>
    <xf numFmtId="0" fontId="9" fillId="0" borderId="65" xfId="0" applyFont="1" applyBorder="1" applyAlignment="1">
      <alignment horizontal="center" vertical="center"/>
    </xf>
    <xf numFmtId="1" fontId="9" fillId="0" borderId="65" xfId="0" applyNumberFormat="1" applyFont="1" applyBorder="1" applyAlignment="1">
      <alignment horizontal="center" vertical="center"/>
    </xf>
    <xf numFmtId="0" fontId="9" fillId="0" borderId="65" xfId="0" applyFont="1" applyBorder="1" applyAlignment="1">
      <alignment horizontal="center" vertical="center" wrapText="1"/>
    </xf>
    <xf numFmtId="0" fontId="3" fillId="0" borderId="35" xfId="0" applyFont="1" applyBorder="1" applyAlignment="1">
      <alignment horizontal="center" vertical="center"/>
    </xf>
    <xf numFmtId="1" fontId="7" fillId="0" borderId="11" xfId="0" applyNumberFormat="1" applyFont="1" applyBorder="1" applyAlignment="1">
      <alignment horizontal="left" vertical="center" indent="1"/>
    </xf>
    <xf numFmtId="0" fontId="9" fillId="0" borderId="69" xfId="0" applyFont="1" applyBorder="1" applyAlignment="1">
      <alignment horizontal="center" vertical="center"/>
    </xf>
    <xf numFmtId="0" fontId="9" fillId="0" borderId="70" xfId="0" applyFont="1" applyBorder="1" applyAlignment="1">
      <alignment horizontal="center" vertical="center"/>
    </xf>
    <xf numFmtId="0" fontId="9" fillId="0" borderId="71" xfId="0" applyFont="1" applyBorder="1" applyAlignment="1">
      <alignment horizontal="center" vertical="center"/>
    </xf>
    <xf numFmtId="0" fontId="9" fillId="0" borderId="72" xfId="0" applyFont="1" applyBorder="1" applyAlignment="1">
      <alignment horizontal="center" vertical="center"/>
    </xf>
    <xf numFmtId="0" fontId="9" fillId="0" borderId="73" xfId="0" applyFont="1" applyBorder="1" applyAlignment="1">
      <alignment horizontal="center" vertical="center"/>
    </xf>
    <xf numFmtId="0" fontId="9" fillId="0" borderId="74" xfId="0" applyFont="1" applyBorder="1" applyAlignment="1">
      <alignment horizontal="center" vertical="center"/>
    </xf>
    <xf numFmtId="0" fontId="20" fillId="0" borderId="35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9" fillId="0" borderId="39" xfId="0" applyFont="1" applyBorder="1" applyAlignment="1">
      <alignment vertical="center"/>
    </xf>
    <xf numFmtId="1" fontId="14" fillId="0" borderId="10" xfId="0" applyNumberFormat="1" applyFont="1" applyBorder="1" applyAlignment="1">
      <alignment horizontal="left" vertical="center" indent="3"/>
    </xf>
    <xf numFmtId="0" fontId="11" fillId="0" borderId="8" xfId="0" applyFont="1" applyBorder="1"/>
    <xf numFmtId="0" fontId="11" fillId="0" borderId="10" xfId="0" applyFont="1" applyBorder="1"/>
    <xf numFmtId="165" fontId="9" fillId="0" borderId="10" xfId="0" applyNumberFormat="1" applyFont="1" applyBorder="1" applyAlignment="1">
      <alignment horizontal="center" vertical="center"/>
    </xf>
    <xf numFmtId="0" fontId="8" fillId="0" borderId="67" xfId="0" applyFont="1" applyBorder="1" applyAlignment="1">
      <alignment horizontal="center" vertical="center" wrapText="1"/>
    </xf>
    <xf numFmtId="0" fontId="8" fillId="0" borderId="36" xfId="0" applyFont="1" applyBorder="1" applyAlignment="1">
      <alignment horizontal="center" vertical="center" wrapText="1"/>
    </xf>
    <xf numFmtId="0" fontId="9" fillId="0" borderId="36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top" wrapText="1"/>
    </xf>
    <xf numFmtId="0" fontId="9" fillId="0" borderId="36" xfId="0" applyFont="1" applyBorder="1" applyAlignment="1">
      <alignment horizontal="center" vertical="top" wrapText="1"/>
    </xf>
    <xf numFmtId="0" fontId="8" fillId="0" borderId="56" xfId="0" applyFont="1" applyBorder="1" applyAlignment="1">
      <alignment horizontal="center" vertical="top" wrapText="1"/>
    </xf>
    <xf numFmtId="0" fontId="8" fillId="0" borderId="20" xfId="0" applyFont="1" applyBorder="1" applyAlignment="1">
      <alignment horizontal="center" vertical="top" wrapText="1"/>
    </xf>
    <xf numFmtId="0" fontId="8" fillId="0" borderId="36" xfId="0" applyFont="1" applyBorder="1" applyAlignment="1">
      <alignment horizontal="center" vertical="top" wrapText="1"/>
    </xf>
    <xf numFmtId="0" fontId="8" fillId="0" borderId="68" xfId="0" applyFont="1" applyBorder="1" applyAlignment="1">
      <alignment horizontal="center" vertical="top" wrapText="1"/>
    </xf>
    <xf numFmtId="0" fontId="7" fillId="0" borderId="2" xfId="1" applyFont="1" applyBorder="1"/>
    <xf numFmtId="0" fontId="7" fillId="0" borderId="0" xfId="1" applyFont="1"/>
    <xf numFmtId="0" fontId="7" fillId="0" borderId="0" xfId="1" applyFont="1" applyAlignment="1">
      <alignment vertical="center"/>
    </xf>
    <xf numFmtId="0" fontId="29" fillId="0" borderId="0" xfId="1" applyFont="1" applyAlignment="1">
      <alignment vertical="center"/>
    </xf>
    <xf numFmtId="0" fontId="30" fillId="0" borderId="0" xfId="1" applyFont="1"/>
    <xf numFmtId="0" fontId="30" fillId="0" borderId="7" xfId="1" applyFont="1" applyBorder="1"/>
    <xf numFmtId="0" fontId="34" fillId="2" borderId="13" xfId="1" applyFont="1" applyFill="1" applyBorder="1" applyAlignment="1">
      <alignment horizontal="center"/>
    </xf>
    <xf numFmtId="0" fontId="34" fillId="2" borderId="78" xfId="1" applyFont="1" applyFill="1" applyBorder="1" applyAlignment="1">
      <alignment horizontal="center"/>
    </xf>
    <xf numFmtId="0" fontId="34" fillId="2" borderId="18" xfId="1" applyFont="1" applyFill="1" applyBorder="1" applyAlignment="1">
      <alignment horizontal="center"/>
    </xf>
    <xf numFmtId="0" fontId="34" fillId="2" borderId="20" xfId="1" applyFont="1" applyFill="1" applyBorder="1" applyAlignment="1">
      <alignment horizontal="center"/>
    </xf>
    <xf numFmtId="0" fontId="34" fillId="2" borderId="36" xfId="1" applyFont="1" applyFill="1" applyBorder="1" applyAlignment="1">
      <alignment horizontal="center"/>
    </xf>
    <xf numFmtId="0" fontId="34" fillId="2" borderId="39" xfId="1" applyFont="1" applyFill="1" applyBorder="1" applyAlignment="1">
      <alignment horizontal="center"/>
    </xf>
    <xf numFmtId="0" fontId="34" fillId="2" borderId="17" xfId="1" applyFont="1" applyFill="1" applyBorder="1" applyAlignment="1">
      <alignment horizontal="center"/>
    </xf>
    <xf numFmtId="0" fontId="34" fillId="2" borderId="35" xfId="1" applyFont="1" applyFill="1" applyBorder="1" applyAlignment="1">
      <alignment horizontal="center"/>
    </xf>
    <xf numFmtId="0" fontId="34" fillId="2" borderId="21" xfId="1" applyFont="1" applyFill="1" applyBorder="1" applyAlignment="1">
      <alignment horizontal="center"/>
    </xf>
    <xf numFmtId="0" fontId="34" fillId="2" borderId="5" xfId="1" applyFont="1" applyFill="1" applyBorder="1" applyAlignment="1">
      <alignment horizontal="center"/>
    </xf>
    <xf numFmtId="0" fontId="34" fillId="2" borderId="6" xfId="1" applyFont="1" applyFill="1" applyBorder="1" applyAlignment="1">
      <alignment horizontal="center"/>
    </xf>
    <xf numFmtId="0" fontId="34" fillId="0" borderId="7" xfId="1" applyFont="1" applyBorder="1" applyAlignment="1">
      <alignment vertical="center"/>
    </xf>
    <xf numFmtId="0" fontId="34" fillId="0" borderId="0" xfId="1" applyFont="1" applyAlignment="1">
      <alignment vertical="center"/>
    </xf>
    <xf numFmtId="0" fontId="34" fillId="0" borderId="19" xfId="1" applyFont="1" applyBorder="1" applyAlignment="1">
      <alignment vertical="center"/>
    </xf>
    <xf numFmtId="0" fontId="34" fillId="0" borderId="16" xfId="1" applyFont="1" applyBorder="1" applyAlignment="1">
      <alignment vertical="center"/>
    </xf>
    <xf numFmtId="0" fontId="7" fillId="0" borderId="77" xfId="1" applyFont="1" applyBorder="1"/>
    <xf numFmtId="0" fontId="34" fillId="0" borderId="24" xfId="1" applyFont="1" applyBorder="1" applyAlignment="1">
      <alignment vertical="center"/>
    </xf>
    <xf numFmtId="0" fontId="11" fillId="0" borderId="1" xfId="0" applyFont="1" applyBorder="1"/>
    <xf numFmtId="0" fontId="11" fillId="0" borderId="37" xfId="0" applyFont="1" applyBorder="1"/>
    <xf numFmtId="0" fontId="11" fillId="0" borderId="7" xfId="0" applyFont="1" applyBorder="1"/>
    <xf numFmtId="0" fontId="1" fillId="0" borderId="19" xfId="0" applyFont="1" applyBorder="1" applyAlignment="1">
      <alignment horizontal="center" vertical="center"/>
    </xf>
    <xf numFmtId="0" fontId="1" fillId="0" borderId="19" xfId="0" applyFont="1" applyBorder="1" applyAlignment="1">
      <alignment vertical="center"/>
    </xf>
    <xf numFmtId="0" fontId="11" fillId="0" borderId="79" xfId="0" applyFont="1" applyBorder="1"/>
    <xf numFmtId="0" fontId="11" fillId="0" borderId="66" xfId="0" applyFont="1" applyBorder="1"/>
    <xf numFmtId="0" fontId="1" fillId="0" borderId="80" xfId="0" applyFont="1" applyBorder="1" applyAlignment="1">
      <alignment vertical="center"/>
    </xf>
    <xf numFmtId="0" fontId="11" fillId="0" borderId="77" xfId="0" applyFont="1" applyBorder="1"/>
    <xf numFmtId="0" fontId="11" fillId="0" borderId="80" xfId="0" applyFont="1" applyBorder="1"/>
    <xf numFmtId="0" fontId="11" fillId="0" borderId="10" xfId="0" applyFont="1" applyBorder="1" applyAlignment="1">
      <alignment horizontal="left" indent="1"/>
    </xf>
    <xf numFmtId="0" fontId="0" fillId="4" borderId="20" xfId="0" applyFill="1" applyBorder="1" applyAlignment="1">
      <alignment horizontal="left" vertical="center" indent="1"/>
    </xf>
    <xf numFmtId="0" fontId="0" fillId="4" borderId="20" xfId="0" applyFill="1" applyBorder="1" applyAlignment="1">
      <alignment horizontal="left" indent="1"/>
    </xf>
    <xf numFmtId="0" fontId="11" fillId="0" borderId="9" xfId="0" applyFont="1" applyBorder="1" applyAlignment="1">
      <alignment horizontal="left" indent="1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vertical="center"/>
    </xf>
    <xf numFmtId="1" fontId="9" fillId="0" borderId="0" xfId="0" applyNumberFormat="1" applyFont="1" applyAlignment="1">
      <alignment vertical="center"/>
    </xf>
    <xf numFmtId="0" fontId="11" fillId="0" borderId="39" xfId="0" applyFont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vertical="center"/>
    </xf>
    <xf numFmtId="0" fontId="0" fillId="4" borderId="0" xfId="0" applyFill="1" applyAlignment="1">
      <alignment horizontal="left" vertical="center" indent="1"/>
    </xf>
    <xf numFmtId="0" fontId="0" fillId="4" borderId="0" xfId="0" applyFill="1" applyAlignment="1">
      <alignment horizontal="left" indent="1"/>
    </xf>
    <xf numFmtId="0" fontId="0" fillId="0" borderId="0" xfId="0" applyAlignment="1">
      <alignment horizontal="left" indent="1"/>
    </xf>
    <xf numFmtId="0" fontId="7" fillId="0" borderId="7" xfId="1" applyFont="1" applyBorder="1"/>
    <xf numFmtId="0" fontId="7" fillId="0" borderId="19" xfId="1" applyFont="1" applyBorder="1"/>
    <xf numFmtId="0" fontId="34" fillId="0" borderId="10" xfId="1" applyFont="1" applyBorder="1" applyAlignment="1">
      <alignment vertical="center"/>
    </xf>
    <xf numFmtId="0" fontId="25" fillId="2" borderId="11" xfId="1" applyFont="1" applyFill="1" applyBorder="1" applyAlignment="1">
      <alignment horizontal="left" vertical="center" indent="1"/>
    </xf>
    <xf numFmtId="0" fontId="34" fillId="0" borderId="20" xfId="1" applyFont="1" applyBorder="1" applyAlignment="1">
      <alignment vertical="center"/>
    </xf>
    <xf numFmtId="0" fontId="34" fillId="0" borderId="39" xfId="1" applyFont="1" applyBorder="1" applyAlignment="1">
      <alignment vertical="center"/>
    </xf>
    <xf numFmtId="0" fontId="7" fillId="0" borderId="1" xfId="1" applyFont="1" applyBorder="1"/>
    <xf numFmtId="0" fontId="3" fillId="0" borderId="2" xfId="1" applyFont="1" applyBorder="1" applyAlignment="1">
      <alignment horizontal="left" vertical="center" indent="1"/>
    </xf>
    <xf numFmtId="0" fontId="29" fillId="0" borderId="2" xfId="1" applyFont="1" applyBorder="1" applyAlignment="1">
      <alignment horizontal="center"/>
    </xf>
    <xf numFmtId="0" fontId="29" fillId="0" borderId="2" xfId="1" applyFont="1" applyBorder="1"/>
    <xf numFmtId="0" fontId="29" fillId="0" borderId="37" xfId="1" applyFont="1" applyBorder="1"/>
    <xf numFmtId="0" fontId="7" fillId="0" borderId="79" xfId="1" applyFont="1" applyBorder="1"/>
    <xf numFmtId="0" fontId="7" fillId="0" borderId="80" xfId="1" applyFont="1" applyBorder="1"/>
    <xf numFmtId="0" fontId="7" fillId="0" borderId="37" xfId="1" applyFont="1" applyBorder="1"/>
    <xf numFmtId="0" fontId="7" fillId="0" borderId="7" xfId="1" applyFont="1" applyBorder="1" applyAlignment="1">
      <alignment vertical="center"/>
    </xf>
    <xf numFmtId="0" fontId="7" fillId="0" borderId="19" xfId="1" applyFont="1" applyBorder="1" applyAlignment="1">
      <alignment vertical="center"/>
    </xf>
    <xf numFmtId="0" fontId="29" fillId="0" borderId="7" xfId="1" applyFont="1" applyBorder="1" applyAlignment="1">
      <alignment vertical="center"/>
    </xf>
    <xf numFmtId="0" fontId="29" fillId="0" borderId="19" xfId="1" applyFont="1" applyBorder="1" applyAlignment="1">
      <alignment vertical="center"/>
    </xf>
    <xf numFmtId="0" fontId="30" fillId="0" borderId="19" xfId="1" applyFont="1" applyBorder="1"/>
    <xf numFmtId="0" fontId="3" fillId="0" borderId="77" xfId="1" applyFont="1" applyBorder="1" applyAlignment="1">
      <alignment horizontal="left" vertical="center" indent="1"/>
    </xf>
    <xf numFmtId="0" fontId="29" fillId="0" borderId="77" xfId="1" applyFont="1" applyBorder="1" applyAlignment="1">
      <alignment horizontal="center"/>
    </xf>
    <xf numFmtId="0" fontId="29" fillId="0" borderId="77" xfId="1" applyFont="1" applyBorder="1"/>
    <xf numFmtId="0" fontId="29" fillId="0" borderId="80" xfId="1" applyFont="1" applyBorder="1"/>
    <xf numFmtId="0" fontId="24" fillId="0" borderId="81" xfId="1" applyFont="1" applyBorder="1"/>
    <xf numFmtId="0" fontId="24" fillId="0" borderId="82" xfId="1" applyFont="1" applyBorder="1"/>
    <xf numFmtId="0" fontId="7" fillId="0" borderId="82" xfId="1" applyFont="1" applyBorder="1"/>
    <xf numFmtId="0" fontId="7" fillId="0" borderId="83" xfId="1" applyFont="1" applyBorder="1"/>
    <xf numFmtId="0" fontId="24" fillId="0" borderId="87" xfId="1" applyFont="1" applyBorder="1"/>
    <xf numFmtId="0" fontId="7" fillId="0" borderId="84" xfId="1" applyFont="1" applyBorder="1"/>
    <xf numFmtId="0" fontId="27" fillId="0" borderId="87" xfId="1" applyFont="1" applyBorder="1" applyAlignment="1">
      <alignment vertical="center"/>
    </xf>
    <xf numFmtId="0" fontId="7" fillId="0" borderId="84" xfId="1" applyFont="1" applyBorder="1" applyAlignment="1">
      <alignment vertical="center"/>
    </xf>
    <xf numFmtId="0" fontId="28" fillId="0" borderId="87" xfId="1" applyFont="1" applyBorder="1" applyAlignment="1">
      <alignment vertical="center"/>
    </xf>
    <xf numFmtId="0" fontId="29" fillId="0" borderId="84" xfId="1" applyFont="1" applyBorder="1" applyAlignment="1">
      <alignment vertical="center"/>
    </xf>
    <xf numFmtId="0" fontId="30" fillId="0" borderId="87" xfId="1" applyFont="1" applyBorder="1"/>
    <xf numFmtId="0" fontId="30" fillId="0" borderId="87" xfId="1" applyFont="1" applyBorder="1" applyAlignment="1">
      <alignment horizontal="center"/>
    </xf>
    <xf numFmtId="0" fontId="31" fillId="0" borderId="87" xfId="1" applyFont="1" applyBorder="1"/>
    <xf numFmtId="0" fontId="30" fillId="0" borderId="84" xfId="1" applyFont="1" applyBorder="1"/>
    <xf numFmtId="0" fontId="7" fillId="0" borderId="87" xfId="1" applyFont="1" applyBorder="1"/>
    <xf numFmtId="0" fontId="34" fillId="0" borderId="87" xfId="1" applyFont="1" applyBorder="1" applyAlignment="1">
      <alignment vertical="center"/>
    </xf>
    <xf numFmtId="0" fontId="34" fillId="0" borderId="84" xfId="1" applyFont="1" applyBorder="1" applyAlignment="1">
      <alignment vertical="center"/>
    </xf>
    <xf numFmtId="0" fontId="7" fillId="0" borderId="88" xfId="1" applyFont="1" applyBorder="1"/>
    <xf numFmtId="0" fontId="7" fillId="0" borderId="85" xfId="1" applyFont="1" applyBorder="1"/>
    <xf numFmtId="0" fontId="7" fillId="0" borderId="86" xfId="1" applyFont="1" applyBorder="1"/>
    <xf numFmtId="0" fontId="39" fillId="3" borderId="8" xfId="1" applyFont="1" applyFill="1" applyBorder="1" applyAlignment="1">
      <alignment vertical="center"/>
    </xf>
    <xf numFmtId="0" fontId="39" fillId="3" borderId="9" xfId="1" applyFont="1" applyFill="1" applyBorder="1" applyAlignment="1">
      <alignment vertical="center"/>
    </xf>
    <xf numFmtId="0" fontId="39" fillId="3" borderId="10" xfId="1" applyFont="1" applyFill="1" applyBorder="1" applyAlignment="1">
      <alignment vertical="center"/>
    </xf>
    <xf numFmtId="0" fontId="39" fillId="3" borderId="35" xfId="1" applyFont="1" applyFill="1" applyBorder="1" applyAlignment="1">
      <alignment vertical="center"/>
    </xf>
    <xf numFmtId="0" fontId="39" fillId="3" borderId="5" xfId="1" applyFont="1" applyFill="1" applyBorder="1" applyAlignment="1">
      <alignment vertical="center"/>
    </xf>
    <xf numFmtId="0" fontId="39" fillId="3" borderId="6" xfId="1" applyFont="1" applyFill="1" applyBorder="1" applyAlignment="1">
      <alignment vertical="center"/>
    </xf>
    <xf numFmtId="0" fontId="30" fillId="0" borderId="0" xfId="1" applyFont="1" applyAlignment="1">
      <alignment horizontal="center"/>
    </xf>
    <xf numFmtId="0" fontId="24" fillId="0" borderId="0" xfId="1" applyFont="1"/>
    <xf numFmtId="0" fontId="27" fillId="0" borderId="0" xfId="1" applyFont="1" applyAlignment="1">
      <alignment vertical="center"/>
    </xf>
    <xf numFmtId="0" fontId="28" fillId="0" borderId="0" xfId="1" applyFont="1" applyAlignment="1">
      <alignment vertical="center"/>
    </xf>
    <xf numFmtId="0" fontId="31" fillId="0" borderId="0" xfId="1" applyFont="1"/>
    <xf numFmtId="0" fontId="34" fillId="0" borderId="11" xfId="1" applyFont="1" applyBorder="1" applyAlignment="1">
      <alignment horizontal="left" vertical="center" indent="1"/>
    </xf>
    <xf numFmtId="0" fontId="34" fillId="0" borderId="11" xfId="1" applyFont="1" applyBorder="1" applyAlignment="1">
      <alignment horizontal="center" vertical="center"/>
    </xf>
    <xf numFmtId="164" fontId="34" fillId="0" borderId="11" xfId="1" applyNumberFormat="1" applyFont="1" applyBorder="1" applyAlignment="1">
      <alignment horizontal="center" vertical="center"/>
    </xf>
    <xf numFmtId="0" fontId="4" fillId="0" borderId="11" xfId="1" applyFont="1" applyBorder="1" applyAlignment="1">
      <alignment horizontal="center" vertical="center"/>
    </xf>
    <xf numFmtId="0" fontId="34" fillId="2" borderId="0" xfId="1" applyFont="1" applyFill="1" applyAlignment="1">
      <alignment horizontal="center"/>
    </xf>
    <xf numFmtId="0" fontId="20" fillId="0" borderId="0" xfId="0" applyFont="1" applyAlignment="1" applyProtection="1">
      <alignment vertical="center"/>
      <protection locked="0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left" vertical="center" indent="1"/>
    </xf>
    <xf numFmtId="1" fontId="7" fillId="0" borderId="0" xfId="0" applyNumberFormat="1" applyFont="1" applyAlignment="1">
      <alignment horizontal="left" vertical="center" indent="1"/>
    </xf>
    <xf numFmtId="0" fontId="0" fillId="5" borderId="11" xfId="0" applyFill="1" applyBorder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11" fillId="0" borderId="0" xfId="0" applyFont="1" applyAlignment="1">
      <alignment horizontal="left" indent="1"/>
    </xf>
    <xf numFmtId="0" fontId="0" fillId="0" borderId="0" xfId="0" applyAlignment="1">
      <alignment horizontal="right" vertical="center" indent="1"/>
    </xf>
    <xf numFmtId="49" fontId="0" fillId="0" borderId="0" xfId="0" applyNumberFormat="1" applyAlignment="1">
      <alignment horizontal="center" vertical="center"/>
    </xf>
    <xf numFmtId="0" fontId="11" fillId="0" borderId="19" xfId="0" applyFont="1" applyBorder="1"/>
    <xf numFmtId="0" fontId="23" fillId="5" borderId="24" xfId="0" applyFont="1" applyFill="1" applyBorder="1" applyAlignment="1">
      <alignment horizontal="center" vertical="center"/>
    </xf>
    <xf numFmtId="0" fontId="0" fillId="5" borderId="24" xfId="0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89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57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0" borderId="0" xfId="0" applyAlignment="1">
      <alignment vertical="center" textRotation="90"/>
    </xf>
    <xf numFmtId="0" fontId="7" fillId="0" borderId="9" xfId="0" applyFont="1" applyBorder="1" applyAlignment="1">
      <alignment vertical="center"/>
    </xf>
    <xf numFmtId="0" fontId="7" fillId="0" borderId="10" xfId="0" applyFont="1" applyBorder="1" applyAlignment="1">
      <alignment vertical="center"/>
    </xf>
    <xf numFmtId="0" fontId="7" fillId="0" borderId="0" xfId="1" applyFont="1" applyAlignment="1">
      <alignment horizontal="center" vertical="center"/>
    </xf>
    <xf numFmtId="0" fontId="0" fillId="9" borderId="11" xfId="0" applyFill="1" applyBorder="1" applyAlignment="1">
      <alignment horizontal="center" vertical="center"/>
    </xf>
    <xf numFmtId="0" fontId="0" fillId="8" borderId="37" xfId="0" applyFill="1" applyBorder="1" applyAlignment="1">
      <alignment horizontal="left" indent="1"/>
    </xf>
    <xf numFmtId="0" fontId="0" fillId="8" borderId="62" xfId="0" applyFill="1" applyBorder="1" applyAlignment="1">
      <alignment horizontal="left" indent="1"/>
    </xf>
    <xf numFmtId="0" fontId="40" fillId="0" borderId="0" xfId="0" applyFont="1" applyAlignment="1">
      <alignment horizontal="center" vertical="center"/>
    </xf>
    <xf numFmtId="0" fontId="41" fillId="0" borderId="0" xfId="0" applyFont="1"/>
    <xf numFmtId="0" fontId="40" fillId="3" borderId="11" xfId="0" applyFont="1" applyFill="1" applyBorder="1" applyAlignment="1">
      <alignment horizontal="center" vertical="center"/>
    </xf>
    <xf numFmtId="49" fontId="40" fillId="5" borderId="11" xfId="0" applyNumberFormat="1" applyFont="1" applyFill="1" applyBorder="1" applyAlignment="1">
      <alignment horizontal="center" vertical="center"/>
    </xf>
    <xf numFmtId="0" fontId="40" fillId="5" borderId="11" xfId="0" applyFont="1" applyFill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5" borderId="21" xfId="0" applyFont="1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41" fillId="0" borderId="0" xfId="0" applyFont="1" applyAlignment="1">
      <alignment vertical="center"/>
    </xf>
    <xf numFmtId="0" fontId="43" fillId="3" borderId="90" xfId="0" applyFont="1" applyFill="1" applyBorder="1" applyAlignment="1">
      <alignment horizontal="center" vertical="center"/>
    </xf>
    <xf numFmtId="0" fontId="43" fillId="3" borderId="31" xfId="0" applyFont="1" applyFill="1" applyBorder="1" applyAlignment="1">
      <alignment horizontal="center" vertical="center"/>
    </xf>
    <xf numFmtId="0" fontId="18" fillId="4" borderId="25" xfId="0" quotePrefix="1" applyFont="1" applyFill="1" applyBorder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2" fillId="4" borderId="25" xfId="0" applyFont="1" applyFill="1" applyBorder="1" applyAlignment="1">
      <alignment horizontal="center"/>
    </xf>
    <xf numFmtId="0" fontId="2" fillId="4" borderId="25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/>
    </xf>
    <xf numFmtId="0" fontId="11" fillId="4" borderId="0" xfId="0" applyFont="1" applyFill="1" applyAlignment="1">
      <alignment vertical="center"/>
    </xf>
    <xf numFmtId="0" fontId="36" fillId="4" borderId="0" xfId="0" applyFont="1" applyFill="1"/>
    <xf numFmtId="0" fontId="15" fillId="4" borderId="1" xfId="0" applyFont="1" applyFill="1" applyBorder="1" applyAlignment="1">
      <alignment vertical="center"/>
    </xf>
    <xf numFmtId="0" fontId="15" fillId="4" borderId="2" xfId="0" applyFont="1" applyFill="1" applyBorder="1" applyAlignment="1">
      <alignment vertical="center"/>
    </xf>
    <xf numFmtId="0" fontId="11" fillId="4" borderId="2" xfId="0" applyFont="1" applyFill="1" applyBorder="1"/>
    <xf numFmtId="0" fontId="11" fillId="4" borderId="37" xfId="0" applyFont="1" applyFill="1" applyBorder="1"/>
    <xf numFmtId="0" fontId="16" fillId="4" borderId="0" xfId="0" applyFont="1" applyFill="1"/>
    <xf numFmtId="0" fontId="17" fillId="4" borderId="0" xfId="0" applyFont="1" applyFill="1"/>
    <xf numFmtId="0" fontId="11" fillId="4" borderId="19" xfId="0" applyFont="1" applyFill="1" applyBorder="1"/>
    <xf numFmtId="49" fontId="11" fillId="4" borderId="0" xfId="0" applyNumberFormat="1" applyFont="1" applyFill="1" applyAlignment="1">
      <alignment horizontal="right"/>
    </xf>
    <xf numFmtId="0" fontId="2" fillId="4" borderId="77" xfId="0" applyFont="1" applyFill="1" applyBorder="1" applyAlignment="1">
      <alignment horizontal="center"/>
    </xf>
    <xf numFmtId="0" fontId="22" fillId="4" borderId="77" xfId="0" applyFont="1" applyFill="1" applyBorder="1" applyAlignment="1">
      <alignment horizontal="center" vertical="center"/>
    </xf>
    <xf numFmtId="0" fontId="11" fillId="4" borderId="77" xfId="0" applyFont="1" applyFill="1" applyBorder="1"/>
    <xf numFmtId="0" fontId="11" fillId="4" borderId="80" xfId="0" applyFont="1" applyFill="1" applyBorder="1"/>
    <xf numFmtId="0" fontId="12" fillId="0" borderId="0" xfId="0" applyFont="1" applyAlignment="1">
      <alignment horizontal="center" vertical="center"/>
    </xf>
    <xf numFmtId="0" fontId="13" fillId="0" borderId="0" xfId="0" quotePrefix="1" applyFont="1" applyAlignment="1">
      <alignment horizontal="center" vertical="center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11" fillId="4" borderId="34" xfId="0" applyFont="1" applyFill="1" applyBorder="1" applyAlignment="1">
      <alignment horizontal="center" vertical="center"/>
    </xf>
    <xf numFmtId="0" fontId="11" fillId="4" borderId="26" xfId="0" applyFont="1" applyFill="1" applyBorder="1" applyAlignment="1">
      <alignment horizontal="center" vertical="center"/>
    </xf>
    <xf numFmtId="0" fontId="11" fillId="4" borderId="24" xfId="0" applyFont="1" applyFill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/>
    </xf>
    <xf numFmtId="0" fontId="11" fillId="4" borderId="27" xfId="0" applyFont="1" applyFill="1" applyBorder="1" applyAlignment="1">
      <alignment horizontal="center" vertical="center"/>
    </xf>
    <xf numFmtId="0" fontId="11" fillId="4" borderId="22" xfId="0" applyFont="1" applyFill="1" applyBorder="1" applyAlignment="1">
      <alignment horizontal="center" vertical="center"/>
    </xf>
    <xf numFmtId="0" fontId="35" fillId="0" borderId="0" xfId="0" applyFont="1"/>
    <xf numFmtId="0" fontId="1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9" borderId="11" xfId="0" applyFill="1" applyBorder="1" applyAlignment="1">
      <alignment horizontal="left"/>
    </xf>
    <xf numFmtId="0" fontId="42" fillId="3" borderId="0" xfId="0" applyFont="1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7" borderId="25" xfId="0" applyFill="1" applyBorder="1" applyAlignment="1">
      <alignment horizontal="center"/>
    </xf>
    <xf numFmtId="0" fontId="0" fillId="6" borderId="11" xfId="0" applyFill="1" applyBorder="1" applyAlignment="1">
      <alignment horizontal="left"/>
    </xf>
    <xf numFmtId="0" fontId="0" fillId="8" borderId="62" xfId="0" applyFill="1" applyBorder="1" applyAlignment="1">
      <alignment horizontal="left" indent="1"/>
    </xf>
    <xf numFmtId="0" fontId="0" fillId="8" borderId="25" xfId="0" applyFill="1" applyBorder="1" applyAlignment="1">
      <alignment horizontal="left" indent="1"/>
    </xf>
    <xf numFmtId="0" fontId="0" fillId="3" borderId="78" xfId="0" applyFill="1" applyBorder="1" applyAlignment="1">
      <alignment horizontal="center" vertical="center" textRotation="90"/>
    </xf>
    <xf numFmtId="0" fontId="0" fillId="3" borderId="36" xfId="0" applyFill="1" applyBorder="1" applyAlignment="1">
      <alignment horizontal="center" vertical="center" textRotation="90"/>
    </xf>
    <xf numFmtId="0" fontId="0" fillId="3" borderId="21" xfId="0" applyFill="1" applyBorder="1" applyAlignment="1">
      <alignment horizontal="center" vertical="center" textRotation="90"/>
    </xf>
    <xf numFmtId="0" fontId="0" fillId="4" borderId="8" xfId="0" applyFill="1" applyBorder="1" applyAlignment="1">
      <alignment horizontal="left" vertical="center" indent="1"/>
    </xf>
    <xf numFmtId="0" fontId="0" fillId="4" borderId="9" xfId="0" applyFill="1" applyBorder="1" applyAlignment="1">
      <alignment horizontal="left" vertical="center" indent="1"/>
    </xf>
    <xf numFmtId="0" fontId="0" fillId="4" borderId="10" xfId="0" applyFill="1" applyBorder="1" applyAlignment="1">
      <alignment horizontal="left" vertical="center" indent="1"/>
    </xf>
    <xf numFmtId="0" fontId="40" fillId="5" borderId="8" xfId="0" applyFont="1" applyFill="1" applyBorder="1" applyAlignment="1">
      <alignment horizontal="center" vertical="center"/>
    </xf>
    <xf numFmtId="0" fontId="40" fillId="5" borderId="9" xfId="0" applyFont="1" applyFill="1" applyBorder="1" applyAlignment="1">
      <alignment horizontal="center" vertical="center"/>
    </xf>
    <xf numFmtId="0" fontId="40" fillId="5" borderId="10" xfId="0" applyFont="1" applyFill="1" applyBorder="1" applyAlignment="1">
      <alignment horizontal="center" vertical="center"/>
    </xf>
    <xf numFmtId="0" fontId="0" fillId="3" borderId="8" xfId="0" applyFill="1" applyBorder="1" applyAlignment="1">
      <alignment horizontal="left" vertical="center" indent="1"/>
    </xf>
    <xf numFmtId="0" fontId="0" fillId="3" borderId="10" xfId="0" applyFill="1" applyBorder="1" applyAlignment="1">
      <alignment horizontal="left" vertical="center" indent="1"/>
    </xf>
    <xf numFmtId="0" fontId="40" fillId="5" borderId="8" xfId="0" applyFont="1" applyFill="1" applyBorder="1" applyAlignment="1">
      <alignment horizontal="left" vertical="center" indent="1"/>
    </xf>
    <xf numFmtId="0" fontId="40" fillId="5" borderId="9" xfId="0" applyFont="1" applyFill="1" applyBorder="1" applyAlignment="1">
      <alignment horizontal="left" vertical="center" indent="1"/>
    </xf>
    <xf numFmtId="0" fontId="40" fillId="5" borderId="10" xfId="0" applyFont="1" applyFill="1" applyBorder="1" applyAlignment="1">
      <alignment horizontal="left" vertical="center" indent="1"/>
    </xf>
    <xf numFmtId="14" fontId="40" fillId="5" borderId="8" xfId="0" applyNumberFormat="1" applyFont="1" applyFill="1" applyBorder="1" applyAlignment="1">
      <alignment horizontal="left" vertical="center" indent="1"/>
    </xf>
    <xf numFmtId="14" fontId="40" fillId="5" borderId="9" xfId="0" applyNumberFormat="1" applyFont="1" applyFill="1" applyBorder="1" applyAlignment="1">
      <alignment horizontal="left" vertical="center" indent="1"/>
    </xf>
    <xf numFmtId="14" fontId="40" fillId="5" borderId="10" xfId="0" applyNumberFormat="1" applyFont="1" applyFill="1" applyBorder="1" applyAlignment="1">
      <alignment horizontal="left" vertical="center" indent="1"/>
    </xf>
    <xf numFmtId="0" fontId="11" fillId="3" borderId="8" xfId="0" applyFont="1" applyFill="1" applyBorder="1" applyAlignment="1">
      <alignment horizontal="left" indent="1"/>
    </xf>
    <xf numFmtId="0" fontId="11" fillId="3" borderId="10" xfId="0" applyFont="1" applyFill="1" applyBorder="1" applyAlignment="1">
      <alignment horizontal="left" indent="1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16" fillId="4" borderId="25" xfId="0" applyFont="1" applyFill="1" applyBorder="1" applyAlignment="1">
      <alignment horizontal="center" vertical="center"/>
    </xf>
    <xf numFmtId="0" fontId="11" fillId="4" borderId="25" xfId="0" applyFont="1" applyFill="1" applyBorder="1" applyAlignment="1">
      <alignment horizontal="center"/>
    </xf>
    <xf numFmtId="0" fontId="0" fillId="4" borderId="25" xfId="0" applyFill="1" applyBorder="1" applyAlignment="1">
      <alignment horizontal="left" indent="1"/>
    </xf>
    <xf numFmtId="0" fontId="11" fillId="4" borderId="58" xfId="0" applyFont="1" applyFill="1" applyBorder="1" applyAlignment="1">
      <alignment horizontal="left" indent="1"/>
    </xf>
    <xf numFmtId="0" fontId="11" fillId="4" borderId="61" xfId="0" applyFont="1" applyFill="1" applyBorder="1" applyAlignment="1">
      <alignment horizontal="left" indent="1"/>
    </xf>
    <xf numFmtId="0" fontId="11" fillId="4" borderId="62" xfId="0" applyFont="1" applyFill="1" applyBorder="1" applyAlignment="1">
      <alignment horizontal="left" indent="1"/>
    </xf>
    <xf numFmtId="0" fontId="11" fillId="4" borderId="58" xfId="0" applyFont="1" applyFill="1" applyBorder="1" applyAlignment="1">
      <alignment horizontal="center"/>
    </xf>
    <xf numFmtId="0" fontId="11" fillId="4" borderId="62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/>
    </xf>
    <xf numFmtId="0" fontId="0" fillId="4" borderId="25" xfId="0" applyFill="1" applyBorder="1" applyAlignment="1">
      <alignment horizontal="center"/>
    </xf>
    <xf numFmtId="0" fontId="20" fillId="0" borderId="11" xfId="0" applyFont="1" applyBorder="1" applyAlignment="1">
      <alignment horizontal="left" vertical="center" indent="1"/>
    </xf>
    <xf numFmtId="0" fontId="20" fillId="0" borderId="21" xfId="0" applyFont="1" applyBorder="1" applyAlignment="1">
      <alignment horizontal="left" vertical="center" indent="1"/>
    </xf>
    <xf numFmtId="0" fontId="7" fillId="0" borderId="21" xfId="0" applyFont="1" applyBorder="1" applyAlignment="1">
      <alignment horizontal="center" vertical="center"/>
    </xf>
    <xf numFmtId="0" fontId="37" fillId="0" borderId="8" xfId="0" applyFont="1" applyBorder="1" applyAlignment="1">
      <alignment horizontal="left" vertical="center" indent="1"/>
    </xf>
    <xf numFmtId="0" fontId="37" fillId="0" borderId="9" xfId="0" applyFont="1" applyBorder="1" applyAlignment="1">
      <alignment horizontal="left" vertical="center" indent="1"/>
    </xf>
    <xf numFmtId="0" fontId="37" fillId="0" borderId="11" xfId="0" applyFont="1" applyBorder="1" applyAlignment="1">
      <alignment horizontal="center" vertical="center"/>
    </xf>
    <xf numFmtId="0" fontId="9" fillId="0" borderId="35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/>
    </xf>
    <xf numFmtId="0" fontId="7" fillId="0" borderId="29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57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52" xfId="0" applyFont="1" applyBorder="1" applyAlignment="1">
      <alignment horizontal="center" vertical="center"/>
    </xf>
    <xf numFmtId="0" fontId="20" fillId="0" borderId="53" xfId="0" applyFont="1" applyBorder="1" applyAlignment="1">
      <alignment horizontal="center" vertical="center"/>
    </xf>
    <xf numFmtId="0" fontId="20" fillId="0" borderId="76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51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20" fillId="0" borderId="34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9" fillId="0" borderId="50" xfId="0" applyFont="1" applyBorder="1" applyAlignment="1">
      <alignment horizontal="center" vertical="center"/>
    </xf>
    <xf numFmtId="0" fontId="9" fillId="0" borderId="60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9" fillId="0" borderId="46" xfId="0" applyFont="1" applyBorder="1" applyAlignment="1">
      <alignment horizontal="center"/>
    </xf>
    <xf numFmtId="0" fontId="9" fillId="0" borderId="43" xfId="0" applyFont="1" applyBorder="1" applyAlignment="1">
      <alignment horizontal="center"/>
    </xf>
    <xf numFmtId="1" fontId="9" fillId="0" borderId="50" xfId="0" applyNumberFormat="1" applyFont="1" applyBorder="1" applyAlignment="1">
      <alignment horizontal="center" vertical="center"/>
    </xf>
    <xf numFmtId="1" fontId="9" fillId="0" borderId="45" xfId="0" applyNumberFormat="1" applyFont="1" applyBorder="1" applyAlignment="1">
      <alignment horizontal="center" vertical="center"/>
    </xf>
    <xf numFmtId="164" fontId="9" fillId="0" borderId="50" xfId="0" applyNumberFormat="1" applyFont="1" applyBorder="1" applyAlignment="1">
      <alignment horizontal="center" vertical="center"/>
    </xf>
    <xf numFmtId="164" fontId="9" fillId="0" borderId="45" xfId="0" applyNumberFormat="1" applyFont="1" applyBorder="1" applyAlignment="1">
      <alignment horizontal="center" vertical="center"/>
    </xf>
    <xf numFmtId="0" fontId="9" fillId="0" borderId="46" xfId="0" applyFont="1" applyBorder="1" applyAlignment="1">
      <alignment horizontal="center" vertical="center"/>
    </xf>
    <xf numFmtId="0" fontId="9" fillId="0" borderId="40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9" fillId="0" borderId="50" xfId="0" applyFont="1" applyBorder="1" applyAlignment="1">
      <alignment horizontal="center"/>
    </xf>
    <xf numFmtId="0" fontId="9" fillId="0" borderId="45" xfId="0" applyFont="1" applyBorder="1" applyAlignment="1">
      <alignment horizontal="center"/>
    </xf>
    <xf numFmtId="0" fontId="9" fillId="0" borderId="47" xfId="0" applyFont="1" applyBorder="1" applyAlignment="1">
      <alignment horizontal="center" vertical="center"/>
    </xf>
    <xf numFmtId="0" fontId="9" fillId="0" borderId="44" xfId="0" applyFont="1" applyBorder="1" applyAlignment="1">
      <alignment horizontal="center" vertical="center"/>
    </xf>
    <xf numFmtId="164" fontId="9" fillId="0" borderId="46" xfId="0" applyNumberFormat="1" applyFont="1" applyBorder="1" applyAlignment="1">
      <alignment horizontal="center" vertical="center"/>
    </xf>
    <xf numFmtId="164" fontId="9" fillId="0" borderId="43" xfId="0" applyNumberFormat="1" applyFont="1" applyBorder="1" applyAlignment="1">
      <alignment horizontal="center" vertical="center"/>
    </xf>
    <xf numFmtId="1" fontId="9" fillId="0" borderId="46" xfId="0" applyNumberFormat="1" applyFont="1" applyBorder="1" applyAlignment="1">
      <alignment horizontal="center" vertical="center"/>
    </xf>
    <xf numFmtId="1" fontId="9" fillId="0" borderId="43" xfId="0" applyNumberFormat="1" applyFont="1" applyBorder="1" applyAlignment="1">
      <alignment horizontal="center" vertical="center"/>
    </xf>
    <xf numFmtId="0" fontId="9" fillId="0" borderId="48" xfId="0" applyFont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48" xfId="0" applyFont="1" applyBorder="1" applyAlignment="1">
      <alignment horizontal="center"/>
    </xf>
    <xf numFmtId="0" fontId="9" fillId="0" borderId="49" xfId="0" applyFont="1" applyBorder="1" applyAlignment="1">
      <alignment horizontal="center"/>
    </xf>
    <xf numFmtId="0" fontId="9" fillId="0" borderId="59" xfId="0" applyFont="1" applyBorder="1" applyAlignment="1">
      <alignment horizontal="center"/>
    </xf>
    <xf numFmtId="0" fontId="9" fillId="0" borderId="42" xfId="0" applyFont="1" applyBorder="1" applyAlignment="1">
      <alignment horizontal="center"/>
    </xf>
    <xf numFmtId="1" fontId="9" fillId="0" borderId="48" xfId="0" applyNumberFormat="1" applyFont="1" applyBorder="1" applyAlignment="1">
      <alignment horizontal="center" vertical="center"/>
    </xf>
    <xf numFmtId="1" fontId="9" fillId="0" borderId="42" xfId="0" applyNumberFormat="1" applyFont="1" applyBorder="1" applyAlignment="1">
      <alignment horizontal="center" vertical="center"/>
    </xf>
    <xf numFmtId="164" fontId="9" fillId="0" borderId="48" xfId="0" applyNumberFormat="1" applyFont="1" applyBorder="1" applyAlignment="1">
      <alignment horizontal="center" vertical="center"/>
    </xf>
    <xf numFmtId="164" fontId="9" fillId="0" borderId="42" xfId="0" applyNumberFormat="1" applyFont="1" applyBorder="1" applyAlignment="1">
      <alignment horizontal="center" vertical="center"/>
    </xf>
    <xf numFmtId="0" fontId="35" fillId="4" borderId="91" xfId="0" applyFont="1" applyFill="1" applyBorder="1" applyAlignment="1">
      <alignment horizontal="center" vertical="center"/>
    </xf>
    <xf numFmtId="0" fontId="35" fillId="4" borderId="92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9" fillId="0" borderId="3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1" fontId="9" fillId="0" borderId="35" xfId="0" applyNumberFormat="1" applyFont="1" applyBorder="1" applyAlignment="1">
      <alignment horizontal="center" vertical="center"/>
    </xf>
    <xf numFmtId="1" fontId="9" fillId="0" borderId="6" xfId="0" applyNumberFormat="1" applyFont="1" applyBorder="1" applyAlignment="1">
      <alignment horizontal="center" vertical="center"/>
    </xf>
    <xf numFmtId="0" fontId="20" fillId="0" borderId="8" xfId="0" applyFont="1" applyBorder="1" applyAlignment="1" applyProtection="1">
      <alignment horizontal="left" vertical="center" indent="1"/>
      <protection locked="0"/>
    </xf>
    <xf numFmtId="0" fontId="20" fillId="0" borderId="9" xfId="0" applyFont="1" applyBorder="1" applyAlignment="1" applyProtection="1">
      <alignment horizontal="left" vertical="center" indent="1"/>
      <protection locked="0"/>
    </xf>
    <xf numFmtId="0" fontId="20" fillId="0" borderId="10" xfId="0" applyFont="1" applyBorder="1" applyAlignment="1" applyProtection="1">
      <alignment horizontal="left" vertical="center" indent="1"/>
      <protection locked="0"/>
    </xf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14" fillId="0" borderId="9" xfId="0" applyFont="1" applyBorder="1" applyAlignment="1">
      <alignment horizontal="right"/>
    </xf>
    <xf numFmtId="1" fontId="14" fillId="0" borderId="9" xfId="0" applyNumberFormat="1" applyFont="1" applyBorder="1" applyAlignment="1">
      <alignment horizontal="center" vertical="center"/>
    </xf>
    <xf numFmtId="0" fontId="8" fillId="0" borderId="8" xfId="0" applyFont="1" applyBorder="1" applyAlignment="1">
      <alignment horizontal="left" vertical="center" indent="1"/>
    </xf>
    <xf numFmtId="0" fontId="8" fillId="0" borderId="9" xfId="0" applyFont="1" applyBorder="1" applyAlignment="1">
      <alignment horizontal="left" vertical="center" indent="1"/>
    </xf>
    <xf numFmtId="0" fontId="8" fillId="0" borderId="10" xfId="0" applyFont="1" applyBorder="1" applyAlignment="1">
      <alignment horizontal="left" vertical="center" indent="1"/>
    </xf>
    <xf numFmtId="0" fontId="9" fillId="0" borderId="13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" fontId="9" fillId="0" borderId="13" xfId="0" applyNumberFormat="1" applyFont="1" applyBorder="1" applyAlignment="1">
      <alignment horizontal="center" vertical="center"/>
    </xf>
    <xf numFmtId="1" fontId="9" fillId="0" borderId="17" xfId="0" applyNumberFormat="1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 textRotation="90" wrapText="1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textRotation="90" wrapText="1"/>
    </xf>
    <xf numFmtId="0" fontId="7" fillId="0" borderId="8" xfId="0" applyFont="1" applyBorder="1" applyAlignment="1">
      <alignment horizontal="left" vertical="center" indent="1"/>
    </xf>
    <xf numFmtId="0" fontId="7" fillId="0" borderId="9" xfId="0" applyFont="1" applyBorder="1" applyAlignment="1">
      <alignment horizontal="left" vertical="center" indent="1"/>
    </xf>
    <xf numFmtId="0" fontId="7" fillId="0" borderId="10" xfId="0" applyFont="1" applyBorder="1" applyAlignment="1">
      <alignment horizontal="left" vertical="center" indent="1"/>
    </xf>
    <xf numFmtId="0" fontId="20" fillId="0" borderId="11" xfId="0" applyFont="1" applyBorder="1" applyAlignment="1" applyProtection="1">
      <alignment horizontal="left" vertical="center" indent="1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9" xfId="0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7" fillId="0" borderId="11" xfId="0" applyFont="1" applyBorder="1" applyAlignment="1">
      <alignment horizontal="left" vertical="center" indent="1"/>
    </xf>
    <xf numFmtId="0" fontId="6" fillId="0" borderId="11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3" fillId="0" borderId="11" xfId="0" applyFont="1" applyBorder="1" applyAlignment="1" applyProtection="1">
      <alignment horizontal="center" vertical="center"/>
      <protection locked="0"/>
    </xf>
    <xf numFmtId="0" fontId="5" fillId="0" borderId="11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21" fillId="5" borderId="24" xfId="0" applyFont="1" applyFill="1" applyBorder="1" applyAlignment="1">
      <alignment horizontal="center" vertical="center"/>
    </xf>
    <xf numFmtId="0" fontId="21" fillId="5" borderId="11" xfId="0" applyFont="1" applyFill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29" fillId="0" borderId="11" xfId="1" applyFont="1" applyBorder="1" applyAlignment="1">
      <alignment horizontal="center" vertical="center"/>
    </xf>
    <xf numFmtId="0" fontId="3" fillId="0" borderId="11" xfId="1" applyFont="1" applyBorder="1" applyAlignment="1">
      <alignment horizontal="center" vertical="center"/>
    </xf>
    <xf numFmtId="0" fontId="3" fillId="0" borderId="21" xfId="1" applyFont="1" applyBorder="1" applyAlignment="1">
      <alignment horizontal="left" vertical="center" indent="1"/>
    </xf>
    <xf numFmtId="164" fontId="29" fillId="0" borderId="11" xfId="1" applyNumberFormat="1" applyFont="1" applyBorder="1" applyAlignment="1">
      <alignment horizontal="center" vertical="center"/>
    </xf>
    <xf numFmtId="0" fontId="3" fillId="0" borderId="11" xfId="1" applyFont="1" applyBorder="1" applyAlignment="1">
      <alignment horizontal="left" vertical="center" indent="1"/>
    </xf>
    <xf numFmtId="0" fontId="3" fillId="0" borderId="9" xfId="1" applyFont="1" applyBorder="1" applyAlignment="1">
      <alignment horizontal="center" vertical="center"/>
    </xf>
    <xf numFmtId="0" fontId="3" fillId="0" borderId="10" xfId="1" applyFont="1" applyBorder="1" applyAlignment="1">
      <alignment horizontal="center" vertical="center"/>
    </xf>
    <xf numFmtId="0" fontId="3" fillId="0" borderId="8" xfId="1" applyFont="1" applyBorder="1" applyAlignment="1">
      <alignment horizontal="center" vertical="center"/>
    </xf>
    <xf numFmtId="0" fontId="29" fillId="0" borderId="8" xfId="1" applyFont="1" applyBorder="1" applyAlignment="1">
      <alignment horizontal="center" vertical="center"/>
    </xf>
    <xf numFmtId="0" fontId="29" fillId="0" borderId="9" xfId="1" applyFont="1" applyBorder="1" applyAlignment="1">
      <alignment horizontal="center" vertical="center"/>
    </xf>
    <xf numFmtId="0" fontId="29" fillId="0" borderId="10" xfId="1" applyFont="1" applyBorder="1" applyAlignment="1">
      <alignment horizontal="center" vertical="center"/>
    </xf>
    <xf numFmtId="0" fontId="34" fillId="2" borderId="8" xfId="1" applyFont="1" applyFill="1" applyBorder="1" applyAlignment="1">
      <alignment horizontal="center"/>
    </xf>
    <xf numFmtId="0" fontId="34" fillId="2" borderId="10" xfId="1" applyFont="1" applyFill="1" applyBorder="1" applyAlignment="1">
      <alignment horizontal="center"/>
    </xf>
    <xf numFmtId="0" fontId="24" fillId="2" borderId="8" xfId="1" applyFont="1" applyFill="1" applyBorder="1" applyAlignment="1">
      <alignment horizontal="center" vertical="center"/>
    </xf>
    <xf numFmtId="0" fontId="24" fillId="2" borderId="9" xfId="1" applyFont="1" applyFill="1" applyBorder="1" applyAlignment="1">
      <alignment horizontal="center" vertical="center"/>
    </xf>
    <xf numFmtId="0" fontId="24" fillId="2" borderId="10" xfId="1" applyFont="1" applyFill="1" applyBorder="1" applyAlignment="1">
      <alignment horizontal="center" vertical="center"/>
    </xf>
    <xf numFmtId="0" fontId="32" fillId="2" borderId="8" xfId="1" applyFont="1" applyFill="1" applyBorder="1" applyAlignment="1">
      <alignment horizontal="left" vertical="center" indent="1"/>
    </xf>
    <xf numFmtId="0" fontId="32" fillId="2" borderId="9" xfId="1" applyFont="1" applyFill="1" applyBorder="1" applyAlignment="1">
      <alignment horizontal="left" vertical="center" indent="1"/>
    </xf>
    <xf numFmtId="0" fontId="32" fillId="2" borderId="10" xfId="1" applyFont="1" applyFill="1" applyBorder="1" applyAlignment="1">
      <alignment horizontal="left" vertical="center" indent="1"/>
    </xf>
    <xf numFmtId="0" fontId="25" fillId="2" borderId="8" xfId="1" applyFont="1" applyFill="1" applyBorder="1" applyAlignment="1">
      <alignment horizontal="left" vertical="center" indent="1"/>
    </xf>
    <xf numFmtId="0" fontId="25" fillId="2" borderId="10" xfId="1" applyFont="1" applyFill="1" applyBorder="1" applyAlignment="1">
      <alignment horizontal="left" vertical="center" indent="1"/>
    </xf>
    <xf numFmtId="0" fontId="30" fillId="2" borderId="13" xfId="1" applyFont="1" applyFill="1" applyBorder="1" applyAlignment="1">
      <alignment horizontal="center"/>
    </xf>
    <xf numFmtId="0" fontId="30" fillId="2" borderId="18" xfId="1" applyFont="1" applyFill="1" applyBorder="1" applyAlignment="1">
      <alignment horizontal="center"/>
    </xf>
    <xf numFmtId="0" fontId="30" fillId="2" borderId="17" xfId="1" applyFont="1" applyFill="1" applyBorder="1" applyAlignment="1">
      <alignment horizontal="center"/>
    </xf>
    <xf numFmtId="0" fontId="33" fillId="2" borderId="78" xfId="1" applyFont="1" applyFill="1" applyBorder="1" applyAlignment="1">
      <alignment horizontal="center" vertical="center"/>
    </xf>
    <xf numFmtId="0" fontId="33" fillId="2" borderId="36" xfId="1" applyFont="1" applyFill="1" applyBorder="1" applyAlignment="1">
      <alignment horizontal="center" vertical="center"/>
    </xf>
    <xf numFmtId="0" fontId="33" fillId="2" borderId="21" xfId="1" applyFont="1" applyFill="1" applyBorder="1" applyAlignment="1">
      <alignment horizontal="center" vertical="center"/>
    </xf>
    <xf numFmtId="0" fontId="34" fillId="2" borderId="9" xfId="1" applyFont="1" applyFill="1" applyBorder="1" applyAlignment="1">
      <alignment horizontal="center"/>
    </xf>
    <xf numFmtId="0" fontId="26" fillId="2" borderId="78" xfId="1" applyFont="1" applyFill="1" applyBorder="1" applyAlignment="1">
      <alignment horizontal="center" vertical="center"/>
    </xf>
    <xf numFmtId="0" fontId="26" fillId="2" borderId="36" xfId="1" applyFont="1" applyFill="1" applyBorder="1" applyAlignment="1">
      <alignment horizontal="center" vertical="center"/>
    </xf>
    <xf numFmtId="0" fontId="26" fillId="2" borderId="21" xfId="1" applyFont="1" applyFill="1" applyBorder="1" applyAlignment="1">
      <alignment horizontal="center" vertical="center"/>
    </xf>
    <xf numFmtId="0" fontId="24" fillId="0" borderId="13" xfId="1" applyFont="1" applyBorder="1" applyAlignment="1">
      <alignment horizontal="center" vertical="center"/>
    </xf>
    <xf numFmtId="0" fontId="24" fillId="0" borderId="18" xfId="1" applyFont="1" applyBorder="1" applyAlignment="1">
      <alignment horizontal="center" vertical="center"/>
    </xf>
    <xf numFmtId="0" fontId="24" fillId="0" borderId="17" xfId="1" applyFont="1" applyBorder="1" applyAlignment="1">
      <alignment horizontal="center" vertical="center"/>
    </xf>
    <xf numFmtId="0" fontId="24" fillId="0" borderId="20" xfId="1" applyFont="1" applyBorder="1" applyAlignment="1">
      <alignment horizontal="center" vertical="center"/>
    </xf>
    <xf numFmtId="0" fontId="24" fillId="0" borderId="0" xfId="1" applyFont="1" applyAlignment="1">
      <alignment horizontal="center" vertical="center"/>
    </xf>
    <xf numFmtId="0" fontId="24" fillId="0" borderId="39" xfId="1" applyFont="1" applyBorder="1" applyAlignment="1">
      <alignment horizontal="center" vertical="center"/>
    </xf>
    <xf numFmtId="0" fontId="25" fillId="0" borderId="35" xfId="1" applyFont="1" applyBorder="1" applyAlignment="1">
      <alignment horizontal="center" vertical="center"/>
    </xf>
    <xf numFmtId="0" fontId="25" fillId="0" borderId="5" xfId="1" applyFont="1" applyBorder="1" applyAlignment="1">
      <alignment horizontal="center" vertical="center"/>
    </xf>
    <xf numFmtId="0" fontId="25" fillId="0" borderId="6" xfId="1" applyFont="1" applyBorder="1" applyAlignment="1">
      <alignment horizontal="center" vertical="center"/>
    </xf>
    <xf numFmtId="0" fontId="26" fillId="0" borderId="8" xfId="1" applyFont="1" applyBorder="1" applyAlignment="1">
      <alignment horizontal="center" vertical="center"/>
    </xf>
    <xf numFmtId="0" fontId="26" fillId="0" borderId="9" xfId="1" applyFont="1" applyBorder="1" applyAlignment="1">
      <alignment horizontal="center" vertical="center"/>
    </xf>
    <xf numFmtId="0" fontId="26" fillId="0" borderId="10" xfId="1" applyFont="1" applyBorder="1" applyAlignment="1">
      <alignment horizontal="center" vertical="center"/>
    </xf>
    <xf numFmtId="0" fontId="26" fillId="0" borderId="11" xfId="1" applyFont="1" applyBorder="1" applyAlignment="1">
      <alignment horizontal="center" vertical="center"/>
    </xf>
    <xf numFmtId="0" fontId="29" fillId="0" borderId="11" xfId="1" applyFont="1" applyBorder="1" applyAlignment="1">
      <alignment horizontal="center"/>
    </xf>
    <xf numFmtId="0" fontId="25" fillId="0" borderId="20" xfId="1" applyFont="1" applyBorder="1" applyAlignment="1">
      <alignment horizontal="center" vertical="center"/>
    </xf>
    <xf numFmtId="0" fontId="25" fillId="0" borderId="0" xfId="1" applyFont="1" applyAlignment="1">
      <alignment horizontal="center" vertical="center"/>
    </xf>
    <xf numFmtId="0" fontId="25" fillId="0" borderId="39" xfId="1" applyFont="1" applyBorder="1" applyAlignment="1">
      <alignment horizontal="center" vertical="center"/>
    </xf>
    <xf numFmtId="0" fontId="38" fillId="3" borderId="1" xfId="1" applyFont="1" applyFill="1" applyBorder="1" applyAlignment="1">
      <alignment horizontal="center" vertical="center"/>
    </xf>
    <xf numFmtId="0" fontId="38" fillId="3" borderId="2" xfId="1" applyFont="1" applyFill="1" applyBorder="1" applyAlignment="1">
      <alignment horizontal="center" vertical="center"/>
    </xf>
    <xf numFmtId="0" fontId="38" fillId="3" borderId="37" xfId="1" applyFont="1" applyFill="1" applyBorder="1" applyAlignment="1">
      <alignment horizontal="center" vertical="center"/>
    </xf>
    <xf numFmtId="0" fontId="38" fillId="3" borderId="7" xfId="1" applyFont="1" applyFill="1" applyBorder="1" applyAlignment="1">
      <alignment horizontal="center" vertical="center"/>
    </xf>
    <xf numFmtId="0" fontId="38" fillId="3" borderId="0" xfId="1" applyFont="1" applyFill="1" applyAlignment="1">
      <alignment horizontal="center" vertical="center"/>
    </xf>
    <xf numFmtId="0" fontId="38" fillId="3" borderId="19" xfId="1" applyFont="1" applyFill="1" applyBorder="1" applyAlignment="1">
      <alignment horizontal="center" vertical="center"/>
    </xf>
    <xf numFmtId="0" fontId="38" fillId="3" borderId="79" xfId="1" applyFont="1" applyFill="1" applyBorder="1" applyAlignment="1">
      <alignment horizontal="center" vertical="center"/>
    </xf>
    <xf numFmtId="0" fontId="38" fillId="3" borderId="77" xfId="1" applyFont="1" applyFill="1" applyBorder="1" applyAlignment="1">
      <alignment horizontal="center" vertical="center"/>
    </xf>
    <xf numFmtId="0" fontId="38" fillId="3" borderId="80" xfId="1" applyFont="1" applyFill="1" applyBorder="1" applyAlignment="1">
      <alignment horizontal="center" vertical="center"/>
    </xf>
    <xf numFmtId="0" fontId="24" fillId="2" borderId="11" xfId="1" applyFont="1" applyFill="1" applyBorder="1" applyAlignment="1">
      <alignment horizontal="center" vertical="center"/>
    </xf>
    <xf numFmtId="0" fontId="29" fillId="0" borderId="13" xfId="1" applyFont="1" applyBorder="1" applyAlignment="1">
      <alignment horizontal="center" vertical="center"/>
    </xf>
    <xf numFmtId="0" fontId="29" fillId="0" borderId="18" xfId="1" applyFont="1" applyBorder="1" applyAlignment="1">
      <alignment horizontal="center" vertical="center"/>
    </xf>
    <xf numFmtId="0" fontId="29" fillId="0" borderId="35" xfId="1" applyFont="1" applyBorder="1" applyAlignment="1">
      <alignment horizontal="center" vertical="center"/>
    </xf>
    <xf numFmtId="0" fontId="29" fillId="0" borderId="5" xfId="1" applyFont="1" applyBorder="1" applyAlignment="1">
      <alignment horizontal="center" vertical="center"/>
    </xf>
    <xf numFmtId="0" fontId="30" fillId="0" borderId="11" xfId="1" applyFont="1" applyBorder="1" applyAlignment="1">
      <alignment horizontal="center" vertical="center"/>
    </xf>
    <xf numFmtId="0" fontId="30" fillId="0" borderId="13" xfId="1" applyFont="1" applyBorder="1" applyAlignment="1">
      <alignment horizontal="center" vertical="center"/>
    </xf>
    <xf numFmtId="0" fontId="30" fillId="0" borderId="18" xfId="1" applyFont="1" applyBorder="1" applyAlignment="1">
      <alignment horizontal="center" vertical="center"/>
    </xf>
    <xf numFmtId="0" fontId="30" fillId="0" borderId="17" xfId="1" applyFont="1" applyBorder="1" applyAlignment="1">
      <alignment horizontal="center" vertical="center"/>
    </xf>
    <xf numFmtId="0" fontId="30" fillId="0" borderId="20" xfId="1" applyFont="1" applyBorder="1" applyAlignment="1">
      <alignment horizontal="center" vertical="center"/>
    </xf>
    <xf numFmtId="0" fontId="30" fillId="0" borderId="0" xfId="1" applyFont="1" applyAlignment="1">
      <alignment horizontal="center" vertical="center"/>
    </xf>
    <xf numFmtId="0" fontId="30" fillId="0" borderId="39" xfId="1" applyFont="1" applyBorder="1" applyAlignment="1">
      <alignment horizontal="center" vertical="center"/>
    </xf>
    <xf numFmtId="0" fontId="30" fillId="0" borderId="35" xfId="1" applyFont="1" applyBorder="1" applyAlignment="1">
      <alignment horizontal="center" vertical="center"/>
    </xf>
    <xf numFmtId="0" fontId="30" fillId="0" borderId="5" xfId="1" applyFont="1" applyBorder="1" applyAlignment="1">
      <alignment horizontal="center" vertical="center"/>
    </xf>
    <xf numFmtId="0" fontId="30" fillId="0" borderId="6" xfId="1" applyFont="1" applyBorder="1" applyAlignment="1">
      <alignment horizontal="center" vertical="center"/>
    </xf>
  </cellXfs>
  <cellStyles count="2">
    <cellStyle name="Normal" xfId="0" builtinId="0"/>
    <cellStyle name="Normal 2" xfId="1" xr:uid="{3253DD3A-F68D-47C8-ABDD-470BC7341287}"/>
  </cellStyles>
  <dxfs count="2">
    <dxf>
      <font>
        <color rgb="FFFF000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Cum Blows vs Penetration</c:v>
          </c:tx>
          <c:spPr>
            <a:ln>
              <a:solidFill>
                <a:schemeClr val="tx1"/>
              </a:solidFill>
            </a:ln>
          </c:spPr>
          <c:marker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DCP_Test_Report_Template!$D$68:$D$111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DCP_Test_Report_Template!$C$68:$C$111</c:f>
              <c:numCache>
                <c:formatCode>General</c:formatCode>
                <c:ptCount val="44"/>
                <c:pt idx="0">
                  <c:v>130</c:v>
                </c:pt>
                <c:pt idx="1">
                  <c:v>140</c:v>
                </c:pt>
                <c:pt idx="2">
                  <c:v>150</c:v>
                </c:pt>
                <c:pt idx="3">
                  <c:v>160</c:v>
                </c:pt>
                <c:pt idx="4">
                  <c:v>170</c:v>
                </c:pt>
                <c:pt idx="5">
                  <c:v>180</c:v>
                </c:pt>
                <c:pt idx="6">
                  <c:v>190</c:v>
                </c:pt>
                <c:pt idx="7">
                  <c:v>200</c:v>
                </c:pt>
                <c:pt idx="8">
                  <c:v>210</c:v>
                </c:pt>
                <c:pt idx="9">
                  <c:v>220</c:v>
                </c:pt>
                <c:pt idx="10">
                  <c:v>230</c:v>
                </c:pt>
                <c:pt idx="11">
                  <c:v>240</c:v>
                </c:pt>
                <c:pt idx="12">
                  <c:v>250</c:v>
                </c:pt>
                <c:pt idx="13">
                  <c:v>260</c:v>
                </c:pt>
                <c:pt idx="14">
                  <c:v>270</c:v>
                </c:pt>
                <c:pt idx="15">
                  <c:v>280</c:v>
                </c:pt>
                <c:pt idx="16">
                  <c:v>300</c:v>
                </c:pt>
                <c:pt idx="17">
                  <c:v>310</c:v>
                </c:pt>
                <c:pt idx="18">
                  <c:v>340</c:v>
                </c:pt>
                <c:pt idx="19">
                  <c:v>360</c:v>
                </c:pt>
                <c:pt idx="20">
                  <c:v>380</c:v>
                </c:pt>
                <c:pt idx="21">
                  <c:v>390</c:v>
                </c:pt>
                <c:pt idx="22">
                  <c:v>410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  <c:pt idx="26">
                  <c:v>480</c:v>
                </c:pt>
                <c:pt idx="27">
                  <c:v>495</c:v>
                </c:pt>
                <c:pt idx="28">
                  <c:v>510</c:v>
                </c:pt>
                <c:pt idx="29">
                  <c:v>525</c:v>
                </c:pt>
                <c:pt idx="30">
                  <c:v>540</c:v>
                </c:pt>
                <c:pt idx="31">
                  <c:v>560</c:v>
                </c:pt>
                <c:pt idx="32">
                  <c:v>580</c:v>
                </c:pt>
                <c:pt idx="33">
                  <c:v>600</c:v>
                </c:pt>
                <c:pt idx="34">
                  <c:v>640</c:v>
                </c:pt>
                <c:pt idx="35">
                  <c:v>680</c:v>
                </c:pt>
                <c:pt idx="36">
                  <c:v>720</c:v>
                </c:pt>
                <c:pt idx="37">
                  <c:v>760</c:v>
                </c:pt>
                <c:pt idx="38">
                  <c:v>790</c:v>
                </c:pt>
                <c:pt idx="39">
                  <c:v>830</c:v>
                </c:pt>
                <c:pt idx="40">
                  <c:v>860</c:v>
                </c:pt>
                <c:pt idx="41">
                  <c:v>900</c:v>
                </c:pt>
                <c:pt idx="42">
                  <c:v>940</c:v>
                </c:pt>
                <c:pt idx="43">
                  <c:v>960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9-4188-9775-C1D8AD9DB647}"/>
            </c:ext>
          </c:extLst>
        </c:ser>
        <c:ser>
          <c:idx val="1"/>
          <c:order val="1"/>
          <c:tx>
            <c:v>Highlighted Points</c:v>
          </c:tx>
          <c:spPr>
            <a:ln>
              <a:noFill/>
            </a:ln>
          </c:spPr>
          <c:marker>
            <c:symbol val="circle"/>
            <c:size val="15"/>
            <c:spPr>
              <a:noFill/>
              <a:ln w="25400">
                <a:solidFill>
                  <a:srgbClr val="FF0000">
                    <a:alpha val="99000"/>
                  </a:srgbClr>
                </a:solidFill>
              </a:ln>
            </c:spPr>
          </c:marker>
          <c:dPt>
            <c:idx val="2"/>
            <c:marker>
              <c:spPr>
                <a:noFill/>
                <a:ln w="25400">
                  <a:solidFill>
                    <a:srgbClr val="FF0000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4D0B-4756-80CF-1EDAF614060E}"/>
              </c:ext>
            </c:extLst>
          </c:dPt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DCP_Test_Report_Template!$AN$39:$AN$52</c:f>
                <c:numCache>
                  <c:formatCode>General</c:formatCode>
                  <c:ptCount val="14"/>
                  <c:pt idx="0">
                    <c:v>280</c:v>
                  </c:pt>
                  <c:pt idx="1">
                    <c:v>380</c:v>
                  </c:pt>
                  <c:pt idx="2">
                    <c:v>460</c:v>
                  </c:pt>
                  <c:pt idx="3">
                    <c:v>600</c:v>
                  </c:pt>
                  <c:pt idx="4">
                    <c:v>830</c:v>
                  </c:pt>
                  <c:pt idx="5">
                    <c:v>940</c:v>
                  </c:pt>
                  <c:pt idx="6">
                    <c:v>960</c:v>
                  </c:pt>
                </c:numCache>
              </c:numRef>
            </c:minus>
            <c:spPr>
              <a:ln w="19050">
                <a:tailEnd type="triangle" w="lg" len="med"/>
              </a:ln>
            </c:spPr>
          </c:errBars>
          <c:errBars>
            <c:errDir val="x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DCP_Test_Report_Template!$AM$39:$AM$52</c:f>
                <c:numCache>
                  <c:formatCode>General</c:formatCode>
                  <c:ptCount val="14"/>
                  <c:pt idx="0">
                    <c:v>15</c:v>
                  </c:pt>
                  <c:pt idx="1">
                    <c:v>20</c:v>
                  </c:pt>
                  <c:pt idx="2">
                    <c:v>25</c:v>
                  </c:pt>
                  <c:pt idx="3">
                    <c:v>33</c:v>
                  </c:pt>
                  <c:pt idx="4">
                    <c:v>39</c:v>
                  </c:pt>
                  <c:pt idx="5">
                    <c:v>42</c:v>
                  </c:pt>
                  <c:pt idx="6">
                    <c:v>43</c:v>
                  </c:pt>
                </c:numCache>
              </c:numRef>
            </c:minus>
            <c:spPr>
              <a:ln w="19050">
                <a:tailEnd type="triangle" w="lg" len="med"/>
              </a:ln>
            </c:spPr>
          </c:errBars>
          <c:xVal>
            <c:numRef>
              <c:f>DCP_Test_Report_Template!$AM$39:$AM$52</c:f>
              <c:numCache>
                <c:formatCode>General</c:formatCode>
                <c:ptCount val="14"/>
                <c:pt idx="0">
                  <c:v>15</c:v>
                </c:pt>
                <c:pt idx="1">
                  <c:v>20</c:v>
                </c:pt>
                <c:pt idx="2">
                  <c:v>25</c:v>
                </c:pt>
                <c:pt idx="3">
                  <c:v>33</c:v>
                </c:pt>
                <c:pt idx="4">
                  <c:v>39</c:v>
                </c:pt>
                <c:pt idx="5">
                  <c:v>42</c:v>
                </c:pt>
                <c:pt idx="6">
                  <c:v>43</c:v>
                </c:pt>
              </c:numCache>
            </c:numRef>
          </c:xVal>
          <c:yVal>
            <c:numRef>
              <c:f>DCP_Test_Report_Template!$AN$39:$AN$52</c:f>
              <c:numCache>
                <c:formatCode>General</c:formatCode>
                <c:ptCount val="14"/>
                <c:pt idx="0">
                  <c:v>280</c:v>
                </c:pt>
                <c:pt idx="1">
                  <c:v>380</c:v>
                </c:pt>
                <c:pt idx="2">
                  <c:v>460</c:v>
                </c:pt>
                <c:pt idx="3">
                  <c:v>600</c:v>
                </c:pt>
                <c:pt idx="4">
                  <c:v>830</c:v>
                </c:pt>
                <c:pt idx="5">
                  <c:v>940</c:v>
                </c:pt>
                <c:pt idx="6">
                  <c:v>960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59-4188-9775-C1D8AD9DB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998976"/>
        <c:axId val="82000896"/>
      </c:scatterChart>
      <c:valAx>
        <c:axId val="81998976"/>
        <c:scaling>
          <c:orientation val="minMax"/>
          <c:max val="45"/>
          <c:min val="0"/>
        </c:scaling>
        <c:delete val="0"/>
        <c:axPos val="t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 of Blows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>
                <a:alpha val="97000"/>
              </a:schemeClr>
            </a:solidFill>
          </a:ln>
        </c:spPr>
        <c:txPr>
          <a:bodyPr rot="0" vert="horz"/>
          <a:lstStyle/>
          <a:p>
            <a:pPr>
              <a:defRPr u="none"/>
            </a:pPr>
            <a:endParaRPr lang="en-US"/>
          </a:p>
        </c:txPr>
        <c:crossAx val="82000896"/>
        <c:crosses val="autoZero"/>
        <c:crossBetween val="midCat"/>
        <c:majorUnit val="2"/>
        <c:minorUnit val="1"/>
      </c:valAx>
      <c:valAx>
        <c:axId val="82000896"/>
        <c:scaling>
          <c:orientation val="maxMin"/>
          <c:max val="1000"/>
          <c:min val="0"/>
        </c:scaling>
        <c:delete val="0"/>
        <c:axPos val="l"/>
        <c:majorGridlines/>
        <c:minorGridlines>
          <c:spPr>
            <a:ln w="6350">
              <a:solidFill>
                <a:schemeClr val="tx1">
                  <a:tint val="50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Penetration depth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>
                <a:alpha val="91000"/>
              </a:schemeClr>
            </a:solidFill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1998976"/>
        <c:crosses val="autoZero"/>
        <c:crossBetween val="midCat"/>
        <c:majorUnit val="50"/>
        <c:minorUnit val="50"/>
      </c:valAx>
    </c:plotArea>
    <c:plotVisOnly val="1"/>
    <c:dispBlanksAs val="gap"/>
    <c:showDLblsOverMax val="0"/>
  </c:chart>
  <c:printSettings>
    <c:headerFooter alignWithMargins="0"/>
    <c:pageMargins b="1" l="0.75000000000000344" r="0.75000000000000344" t="1" header="0.5" footer="0.5"/>
    <c:pageSetup paperSize="9" orientation="landscape" horizontalDpi="360" verticalDpi="-3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38100</xdr:colOff>
      <xdr:row>2</xdr:row>
      <xdr:rowOff>101600</xdr:rowOff>
    </xdr:from>
    <xdr:to>
      <xdr:col>18</xdr:col>
      <xdr:colOff>577851</xdr:colOff>
      <xdr:row>10</xdr:row>
      <xdr:rowOff>90597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E622A221-4DBF-D80E-AEDE-CA429DC6D5F9}"/>
            </a:ext>
          </a:extLst>
        </xdr:cNvPr>
        <xdr:cNvGrpSpPr/>
      </xdr:nvGrpSpPr>
      <xdr:grpSpPr>
        <a:xfrm>
          <a:off x="11623158" y="876891"/>
          <a:ext cx="1152600" cy="2218880"/>
          <a:chOff x="10401300" y="476250"/>
          <a:chExt cx="1149351" cy="1462197"/>
        </a:xfrm>
      </xdr:grpSpPr>
      <xdr:cxnSp macro="">
        <xdr:nvCxnSpPr>
          <xdr:cNvPr id="2" name="Straight Arrow Connector 1">
            <a:extLst>
              <a:ext uri="{FF2B5EF4-FFF2-40B4-BE49-F238E27FC236}">
                <a16:creationId xmlns:a16="http://schemas.microsoft.com/office/drawing/2014/main" id="{445BCDEB-CBAE-4524-94E9-86483DCDA297}"/>
              </a:ext>
            </a:extLst>
          </xdr:cNvPr>
          <xdr:cNvCxnSpPr/>
        </xdr:nvCxnSpPr>
        <xdr:spPr>
          <a:xfrm flipH="1">
            <a:off x="10401300" y="478524"/>
            <a:ext cx="603250" cy="0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4EB501E1-506F-4510-A6C7-D6FD5F0E7236}"/>
              </a:ext>
            </a:extLst>
          </xdr:cNvPr>
          <xdr:cNvSpPr txBox="1"/>
        </xdr:nvSpPr>
        <xdr:spPr>
          <a:xfrm>
            <a:off x="10436039" y="806450"/>
            <a:ext cx="1114612" cy="11319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 b="1">
                <a:solidFill>
                  <a:srgbClr val="FF0000"/>
                </a:solidFill>
              </a:rPr>
              <a:t>Insert zero reading here</a:t>
            </a:r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42BA7A31-CF6A-B376-0776-FBC06B097BD4}"/>
              </a:ext>
            </a:extLst>
          </xdr:cNvPr>
          <xdr:cNvCxnSpPr/>
        </xdr:nvCxnSpPr>
        <xdr:spPr>
          <a:xfrm>
            <a:off x="11010900" y="476250"/>
            <a:ext cx="0" cy="292100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6350</xdr:colOff>
          <xdr:row>4</xdr:row>
          <xdr:rowOff>158750</xdr:rowOff>
        </xdr:from>
        <xdr:to>
          <xdr:col>13</xdr:col>
          <xdr:colOff>596900</xdr:colOff>
          <xdr:row>6</xdr:row>
          <xdr:rowOff>273050</xdr:rowOff>
        </xdr:to>
        <xdr:sp macro="" textlink="">
          <xdr:nvSpPr>
            <xdr:cNvPr id="10242" name="btn_create_test_report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19050</xdr:rowOff>
        </xdr:from>
        <xdr:to>
          <xdr:col>14</xdr:col>
          <xdr:colOff>12700</xdr:colOff>
          <xdr:row>10</xdr:row>
          <xdr:rowOff>165100</xdr:rowOff>
        </xdr:to>
        <xdr:sp macro="" textlink="">
          <xdr:nvSpPr>
            <xdr:cNvPr id="10243" name="btn_finish_test_report_creatio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101600</xdr:rowOff>
        </xdr:from>
        <xdr:to>
          <xdr:col>13</xdr:col>
          <xdr:colOff>596900</xdr:colOff>
          <xdr:row>14</xdr:row>
          <xdr:rowOff>69850</xdr:rowOff>
        </xdr:to>
        <xdr:sp macro="" textlink="">
          <xdr:nvSpPr>
            <xdr:cNvPr id="10244" name="btn_clear_input_data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103094</xdr:colOff>
      <xdr:row>0</xdr:row>
      <xdr:rowOff>0</xdr:rowOff>
    </xdr:from>
    <xdr:to>
      <xdr:col>14</xdr:col>
      <xdr:colOff>177242</xdr:colOff>
      <xdr:row>2</xdr:row>
      <xdr:rowOff>45843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B8D17AB2-16D3-4FAB-97F5-746E6A369C46}"/>
            </a:ext>
          </a:extLst>
        </xdr:cNvPr>
        <xdr:cNvSpPr txBox="1"/>
      </xdr:nvSpPr>
      <xdr:spPr>
        <a:xfrm>
          <a:off x="4548094" y="0"/>
          <a:ext cx="4974854" cy="8302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>
              <a:solidFill>
                <a:schemeClr val="tx2">
                  <a:lumMod val="50000"/>
                  <a:lumOff val="50000"/>
                </a:schemeClr>
              </a:solidFill>
            </a:rPr>
            <a:t>Only Edit Blue Colour Area</a:t>
          </a:r>
        </a:p>
      </xdr:txBody>
    </xdr:sp>
    <xdr:clientData/>
  </xdr:twoCellAnchor>
  <xdr:twoCellAnchor>
    <xdr:from>
      <xdr:col>4</xdr:col>
      <xdr:colOff>7470</xdr:colOff>
      <xdr:row>23</xdr:row>
      <xdr:rowOff>104588</xdr:rowOff>
    </xdr:from>
    <xdr:to>
      <xdr:col>8</xdr:col>
      <xdr:colOff>575235</xdr:colOff>
      <xdr:row>23</xdr:row>
      <xdr:rowOff>104588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5C977CAB-4D0C-4EB4-B250-E6ED9CDB628C}"/>
            </a:ext>
          </a:extLst>
        </xdr:cNvPr>
        <xdr:cNvCxnSpPr/>
      </xdr:nvCxnSpPr>
      <xdr:spPr>
        <a:xfrm flipH="1">
          <a:off x="2457823" y="4407647"/>
          <a:ext cx="3018118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605117</xdr:colOff>
      <xdr:row>24</xdr:row>
      <xdr:rowOff>104588</xdr:rowOff>
    </xdr:from>
    <xdr:to>
      <xdr:col>8</xdr:col>
      <xdr:colOff>597647</xdr:colOff>
      <xdr:row>24</xdr:row>
      <xdr:rowOff>104588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E7D7FB3D-D7EE-5893-AF56-B3633F2B894C}"/>
            </a:ext>
          </a:extLst>
        </xdr:cNvPr>
        <xdr:cNvCxnSpPr/>
      </xdr:nvCxnSpPr>
      <xdr:spPr>
        <a:xfrm flipH="1">
          <a:off x="4893235" y="4594412"/>
          <a:ext cx="605118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14941</xdr:colOff>
      <xdr:row>25</xdr:row>
      <xdr:rowOff>74706</xdr:rowOff>
    </xdr:from>
    <xdr:to>
      <xdr:col>8</xdr:col>
      <xdr:colOff>582706</xdr:colOff>
      <xdr:row>25</xdr:row>
      <xdr:rowOff>74706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68320691-62E5-C231-0D45-2832E9769C79}"/>
            </a:ext>
          </a:extLst>
        </xdr:cNvPr>
        <xdr:cNvCxnSpPr/>
      </xdr:nvCxnSpPr>
      <xdr:spPr>
        <a:xfrm flipH="1">
          <a:off x="2465294" y="4751294"/>
          <a:ext cx="3018118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515470</xdr:colOff>
      <xdr:row>28</xdr:row>
      <xdr:rowOff>156883</xdr:rowOff>
    </xdr:from>
    <xdr:to>
      <xdr:col>12</xdr:col>
      <xdr:colOff>336176</xdr:colOff>
      <xdr:row>32</xdr:row>
      <xdr:rowOff>7470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68025B19-5681-47C9-BE65-C137EEB4A594}"/>
            </a:ext>
          </a:extLst>
        </xdr:cNvPr>
        <xdr:cNvSpPr txBox="1"/>
      </xdr:nvSpPr>
      <xdr:spPr>
        <a:xfrm>
          <a:off x="4803588" y="5393765"/>
          <a:ext cx="2883647" cy="59764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>
              <a:solidFill>
                <a:srgbClr val="FF0000"/>
              </a:solidFill>
            </a:rPr>
            <a:t>When newly start thiswork book check these values available.</a:t>
          </a:r>
        </a:p>
      </xdr:txBody>
    </xdr:sp>
    <xdr:clientData/>
  </xdr:twoCellAnchor>
  <xdr:twoCellAnchor>
    <xdr:from>
      <xdr:col>9</xdr:col>
      <xdr:colOff>605117</xdr:colOff>
      <xdr:row>26</xdr:row>
      <xdr:rowOff>59764</xdr:rowOff>
    </xdr:from>
    <xdr:to>
      <xdr:col>9</xdr:col>
      <xdr:colOff>605117</xdr:colOff>
      <xdr:row>28</xdr:row>
      <xdr:rowOff>97118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A07D53DA-A2FF-4443-B698-94A6CBCBE31C}"/>
            </a:ext>
          </a:extLst>
        </xdr:cNvPr>
        <xdr:cNvCxnSpPr/>
      </xdr:nvCxnSpPr>
      <xdr:spPr>
        <a:xfrm flipV="1">
          <a:off x="6118411" y="4923117"/>
          <a:ext cx="0" cy="410883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321234</xdr:colOff>
      <xdr:row>29</xdr:row>
      <xdr:rowOff>14941</xdr:rowOff>
    </xdr:from>
    <xdr:to>
      <xdr:col>3</xdr:col>
      <xdr:colOff>321234</xdr:colOff>
      <xdr:row>31</xdr:row>
      <xdr:rowOff>52295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867AFE78-2BE6-48D2-527D-DBB9D1649F0C}"/>
            </a:ext>
          </a:extLst>
        </xdr:cNvPr>
        <xdr:cNvCxnSpPr/>
      </xdr:nvCxnSpPr>
      <xdr:spPr>
        <a:xfrm flipV="1">
          <a:off x="2158999" y="5468470"/>
          <a:ext cx="0" cy="410884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336177</xdr:colOff>
      <xdr:row>31</xdr:row>
      <xdr:rowOff>119530</xdr:rowOff>
    </xdr:from>
    <xdr:to>
      <xdr:col>6</xdr:col>
      <xdr:colOff>156883</xdr:colOff>
      <xdr:row>33</xdr:row>
      <xdr:rowOff>127000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8B8AA004-AA89-9EF2-F14C-8F9594BAFCC8}"/>
            </a:ext>
          </a:extLst>
        </xdr:cNvPr>
        <xdr:cNvSpPr txBox="1"/>
      </xdr:nvSpPr>
      <xdr:spPr>
        <a:xfrm>
          <a:off x="948765" y="5946589"/>
          <a:ext cx="2883647" cy="3809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>
              <a:solidFill>
                <a:srgbClr val="FF0000"/>
              </a:solidFill>
            </a:rPr>
            <a:t>Layer detection sensitivity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276736</xdr:colOff>
      <xdr:row>12</xdr:row>
      <xdr:rowOff>136725</xdr:rowOff>
    </xdr:from>
    <xdr:to>
      <xdr:col>32</xdr:col>
      <xdr:colOff>527588</xdr:colOff>
      <xdr:row>33</xdr:row>
      <xdr:rowOff>24742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AB727B5D-66BF-4BAC-8FC6-738B376081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12</xdr:col>
      <xdr:colOff>229032</xdr:colOff>
      <xdr:row>64</xdr:row>
      <xdr:rowOff>81145</xdr:rowOff>
    </xdr:from>
    <xdr:to>
      <xdr:col>14</xdr:col>
      <xdr:colOff>59531</xdr:colOff>
      <xdr:row>66</xdr:row>
      <xdr:rowOff>77994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53C6564-4EFF-4633-A35B-759DEE5E3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61946" y="15457216"/>
          <a:ext cx="1196656" cy="609089"/>
        </a:xfrm>
        <a:prstGeom prst="rect">
          <a:avLst/>
        </a:prstGeom>
      </xdr:spPr>
    </xdr:pic>
    <xdr:clientData/>
  </xdr:twoCellAnchor>
  <xdr:twoCellAnchor>
    <xdr:from>
      <xdr:col>38</xdr:col>
      <xdr:colOff>598717</xdr:colOff>
      <xdr:row>53</xdr:row>
      <xdr:rowOff>0</xdr:rowOff>
    </xdr:from>
    <xdr:to>
      <xdr:col>39</xdr:col>
      <xdr:colOff>789218</xdr:colOff>
      <xdr:row>54</xdr:row>
      <xdr:rowOff>326571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C1477353-B647-49EC-A4A3-E61EC372F513}"/>
            </a:ext>
          </a:extLst>
        </xdr:cNvPr>
        <xdr:cNvSpPr/>
      </xdr:nvSpPr>
      <xdr:spPr>
        <a:xfrm rot="16200000">
          <a:off x="26008697" y="11519806"/>
          <a:ext cx="527956" cy="1665515"/>
        </a:xfrm>
        <a:prstGeom prst="leftBrac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138341</xdr:colOff>
      <xdr:row>54</xdr:row>
      <xdr:rowOff>267606</xdr:rowOff>
    </xdr:from>
    <xdr:to>
      <xdr:col>46</xdr:col>
      <xdr:colOff>206375</xdr:colOff>
      <xdr:row>57</xdr:row>
      <xdr:rowOff>206375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1A0F6CEC-ED1D-46A7-9509-68B43E243D1A}"/>
            </a:ext>
          </a:extLst>
        </xdr:cNvPr>
        <xdr:cNvSpPr txBox="1"/>
      </xdr:nvSpPr>
      <xdr:spPr>
        <a:xfrm>
          <a:off x="23188841" y="12745356"/>
          <a:ext cx="8386534" cy="9547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rgbClr val="FF0000"/>
              </a:solidFill>
            </a:rPr>
            <a:t>If some incorrect</a:t>
          </a:r>
          <a:r>
            <a:rPr lang="en-US" sz="2800" baseline="0">
              <a:solidFill>
                <a:srgbClr val="FF0000"/>
              </a:solidFill>
            </a:rPr>
            <a:t> detection happen then remove or edit</a:t>
          </a:r>
          <a:endParaRPr lang="en-US" sz="2800">
            <a:solidFill>
              <a:srgbClr val="FF0000"/>
            </a:solidFill>
          </a:endParaRPr>
        </a:p>
      </xdr:txBody>
    </xdr:sp>
    <xdr:clientData/>
  </xdr:twoCellAnchor>
  <xdr:twoCellAnchor>
    <xdr:from>
      <xdr:col>38</xdr:col>
      <xdr:colOff>1395350</xdr:colOff>
      <xdr:row>2</xdr:row>
      <xdr:rowOff>210705</xdr:rowOff>
    </xdr:from>
    <xdr:to>
      <xdr:col>45</xdr:col>
      <xdr:colOff>542635</xdr:colOff>
      <xdr:row>7</xdr:row>
      <xdr:rowOff>357909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C06A24D1-AE32-4C40-BD8F-3C258857EC0A}"/>
            </a:ext>
          </a:extLst>
        </xdr:cNvPr>
        <xdr:cNvSpPr txBox="1"/>
      </xdr:nvSpPr>
      <xdr:spPr>
        <a:xfrm>
          <a:off x="25767805" y="591705"/>
          <a:ext cx="5485739" cy="1382568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000" b="1">
              <a:solidFill>
                <a:srgbClr val="FF0000"/>
              </a:solidFill>
            </a:rPr>
            <a:t>Do not</a:t>
          </a:r>
          <a:r>
            <a:rPr lang="en-US" sz="4000" b="1" baseline="0">
              <a:solidFill>
                <a:srgbClr val="FF0000"/>
              </a:solidFill>
            </a:rPr>
            <a:t> edit any where</a:t>
          </a:r>
          <a:endParaRPr lang="en-US" sz="4000" b="1">
            <a:solidFill>
              <a:srgbClr val="FF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389658</xdr:colOff>
      <xdr:row>5</xdr:row>
      <xdr:rowOff>81643</xdr:rowOff>
    </xdr:from>
    <xdr:to>
      <xdr:col>38</xdr:col>
      <xdr:colOff>508411</xdr:colOff>
      <xdr:row>6</xdr:row>
      <xdr:rowOff>176892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B26E5D6F-DDDB-42F1-92A1-6D0C3F719C42}"/>
            </a:ext>
          </a:extLst>
        </xdr:cNvPr>
        <xdr:cNvSpPr txBox="1"/>
      </xdr:nvSpPr>
      <xdr:spPr>
        <a:xfrm>
          <a:off x="21584144" y="1447800"/>
          <a:ext cx="5039096" cy="41093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rgbClr val="FF0000"/>
              </a:solidFill>
            </a:rPr>
            <a:t>Do not</a:t>
          </a:r>
          <a:r>
            <a:rPr lang="en-US" sz="2400" b="1" baseline="0">
              <a:solidFill>
                <a:srgbClr val="FF0000"/>
              </a:solidFill>
            </a:rPr>
            <a:t> change anything</a:t>
          </a:r>
          <a:endParaRPr lang="en-US" sz="2400" b="1">
            <a:solidFill>
              <a:srgbClr val="FF0000"/>
            </a:solidFill>
          </a:endParaRPr>
        </a:p>
      </xdr:txBody>
    </xdr:sp>
    <xdr:clientData/>
  </xdr:twoCellAnchor>
  <xdr:twoCellAnchor>
    <xdr:from>
      <xdr:col>30</xdr:col>
      <xdr:colOff>389658</xdr:colOff>
      <xdr:row>47</xdr:row>
      <xdr:rowOff>81643</xdr:rowOff>
    </xdr:from>
    <xdr:to>
      <xdr:col>38</xdr:col>
      <xdr:colOff>508411</xdr:colOff>
      <xdr:row>48</xdr:row>
      <xdr:rowOff>176892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DE4D2A36-D470-465E-9004-D982B4219F37}"/>
            </a:ext>
          </a:extLst>
        </xdr:cNvPr>
        <xdr:cNvSpPr txBox="1"/>
      </xdr:nvSpPr>
      <xdr:spPr>
        <a:xfrm>
          <a:off x="21584144" y="1447800"/>
          <a:ext cx="5039096" cy="41093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rgbClr val="FF0000"/>
              </a:solidFill>
            </a:rPr>
            <a:t>Do not</a:t>
          </a:r>
          <a:r>
            <a:rPr lang="en-US" sz="2400" b="1" baseline="0">
              <a:solidFill>
                <a:srgbClr val="FF0000"/>
              </a:solidFill>
            </a:rPr>
            <a:t> change anything</a:t>
          </a:r>
          <a:endParaRPr lang="en-US" sz="24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49EC-2F82-4C08-A281-B9D5348422AA}">
  <sheetPr codeName="Sheet1"/>
  <dimension ref="A1:Y191"/>
  <sheetViews>
    <sheetView tabSelected="1" topLeftCell="A10" zoomScale="86" zoomScaleNormal="85" workbookViewId="0">
      <selection activeCell="D27" sqref="D27"/>
    </sheetView>
  </sheetViews>
  <sheetFormatPr defaultRowHeight="14.5" x14ac:dyDescent="0.35"/>
  <cols>
    <col min="3" max="3" width="9.7265625" bestFit="1" customWidth="1"/>
    <col min="6" max="6" width="18.81640625" customWidth="1"/>
    <col min="15" max="15" width="6.1796875" customWidth="1"/>
    <col min="16" max="16" width="12.54296875" customWidth="1"/>
    <col min="17" max="17" width="13.36328125" customWidth="1"/>
  </cols>
  <sheetData>
    <row r="1" spans="1:25" ht="34" customHeight="1" x14ac:dyDescent="0.45">
      <c r="A1" s="261" t="s">
        <v>5</v>
      </c>
      <c r="B1" s="262"/>
      <c r="C1" s="263" t="s">
        <v>98</v>
      </c>
      <c r="D1" s="264"/>
      <c r="E1" s="265"/>
      <c r="F1" s="195"/>
      <c r="G1" s="196"/>
      <c r="H1" s="196"/>
      <c r="I1" s="196"/>
      <c r="J1" s="170"/>
      <c r="K1" s="170"/>
      <c r="L1" s="170"/>
      <c r="M1" s="170"/>
      <c r="N1" s="170"/>
      <c r="O1" s="246" t="s">
        <v>39</v>
      </c>
      <c r="P1" s="246"/>
      <c r="Q1" s="246"/>
      <c r="R1" s="246"/>
    </row>
    <row r="2" spans="1:25" ht="27.5" customHeight="1" thickBot="1" x14ac:dyDescent="0.5">
      <c r="A2" s="269" t="s">
        <v>7</v>
      </c>
      <c r="B2" s="270"/>
      <c r="C2" s="263" t="s">
        <v>99</v>
      </c>
      <c r="D2" s="264"/>
      <c r="E2" s="264"/>
      <c r="F2" s="265"/>
      <c r="G2" s="196"/>
      <c r="H2" s="196"/>
      <c r="I2" s="196"/>
      <c r="J2" s="170"/>
      <c r="K2" s="170"/>
      <c r="L2" s="169"/>
      <c r="M2" s="169"/>
      <c r="N2" s="169"/>
      <c r="O2" s="171"/>
      <c r="P2" s="205" t="s">
        <v>28</v>
      </c>
      <c r="Q2" s="206" t="s">
        <v>38</v>
      </c>
      <c r="T2" s="243" t="s">
        <v>89</v>
      </c>
      <c r="X2" s="244" t="s">
        <v>87</v>
      </c>
      <c r="Y2" s="244"/>
    </row>
    <row r="3" spans="1:25" ht="28.5" customHeight="1" x14ac:dyDescent="0.45">
      <c r="A3" s="261" t="s">
        <v>10</v>
      </c>
      <c r="B3" s="262"/>
      <c r="C3" s="266" t="s">
        <v>100</v>
      </c>
      <c r="D3" s="267"/>
      <c r="E3" s="268"/>
      <c r="F3" s="195"/>
      <c r="G3" s="196"/>
      <c r="H3" s="196"/>
      <c r="I3" s="196"/>
      <c r="J3" s="170"/>
      <c r="K3" s="170"/>
      <c r="L3" s="169"/>
      <c r="M3" s="169"/>
      <c r="N3" s="169"/>
      <c r="O3" s="172"/>
      <c r="P3" s="187">
        <v>0</v>
      </c>
      <c r="Q3" s="186">
        <v>130</v>
      </c>
      <c r="T3" s="242" t="s">
        <v>90</v>
      </c>
      <c r="X3">
        <v>0</v>
      </c>
      <c r="Y3">
        <v>160</v>
      </c>
    </row>
    <row r="4" spans="1:25" ht="24.5" customHeight="1" x14ac:dyDescent="0.35">
      <c r="A4" s="261" t="s">
        <v>6</v>
      </c>
      <c r="B4" s="262"/>
      <c r="C4" s="263" t="s">
        <v>101</v>
      </c>
      <c r="D4" s="264"/>
      <c r="E4" s="264"/>
      <c r="F4" s="264"/>
      <c r="G4" s="264"/>
      <c r="H4" s="264"/>
      <c r="I4" s="265"/>
      <c r="P4" s="180">
        <v>1</v>
      </c>
      <c r="Q4" s="184">
        <v>140</v>
      </c>
      <c r="T4" s="242" t="str">
        <f>IF(Q4&lt;&gt;"",(IF((Q4-Q3)&gt;0,"PASS","FAIL")),"")</f>
        <v>PASS</v>
      </c>
      <c r="X4">
        <v>1</v>
      </c>
      <c r="Y4">
        <v>210</v>
      </c>
    </row>
    <row r="5" spans="1:25" x14ac:dyDescent="0.35">
      <c r="A5" s="98"/>
      <c r="B5" s="95"/>
      <c r="C5" s="271" t="s">
        <v>41</v>
      </c>
      <c r="D5" s="272"/>
      <c r="E5" s="273"/>
      <c r="F5" s="11" t="s">
        <v>40</v>
      </c>
      <c r="G5" s="1"/>
      <c r="H5" s="1"/>
      <c r="I5" s="1"/>
      <c r="P5" s="180">
        <v>1</v>
      </c>
      <c r="Q5" s="184">
        <v>150</v>
      </c>
      <c r="T5" s="242" t="str">
        <f t="shared" ref="T5:T68" si="0">IF(Q5&lt;&gt;"",(IF((Q5-Q4)&gt;0,"PASS","FAIL")),"")</f>
        <v>PASS</v>
      </c>
      <c r="X5">
        <v>1</v>
      </c>
      <c r="Y5">
        <v>240</v>
      </c>
    </row>
    <row r="6" spans="1:25" ht="23" customHeight="1" x14ac:dyDescent="0.35">
      <c r="A6" s="261" t="s">
        <v>8</v>
      </c>
      <c r="B6" s="262"/>
      <c r="C6" s="199" t="s">
        <v>97</v>
      </c>
      <c r="D6" s="197" t="s">
        <v>42</v>
      </c>
      <c r="E6" s="198" t="s">
        <v>97</v>
      </c>
      <c r="F6" s="199" t="s">
        <v>88</v>
      </c>
      <c r="G6" s="1"/>
      <c r="H6" s="1"/>
      <c r="I6" s="1"/>
      <c r="P6" s="180">
        <v>1</v>
      </c>
      <c r="Q6" s="184">
        <v>160</v>
      </c>
      <c r="T6" s="242" t="str">
        <f t="shared" si="0"/>
        <v>PASS</v>
      </c>
      <c r="X6">
        <v>1</v>
      </c>
      <c r="Y6">
        <v>260</v>
      </c>
    </row>
    <row r="7" spans="1:25" ht="24" customHeight="1" x14ac:dyDescent="0.35">
      <c r="A7" s="261" t="s">
        <v>9</v>
      </c>
      <c r="B7" s="262"/>
      <c r="C7" s="199" t="s">
        <v>97</v>
      </c>
      <c r="D7" s="195"/>
      <c r="E7" s="195"/>
      <c r="F7" s="195"/>
      <c r="G7" s="1"/>
      <c r="H7" s="1"/>
      <c r="I7" s="1"/>
      <c r="P7" s="180">
        <v>1</v>
      </c>
      <c r="Q7" s="184">
        <v>170</v>
      </c>
      <c r="T7" s="242" t="str">
        <f t="shared" si="0"/>
        <v>PASS</v>
      </c>
      <c r="X7">
        <v>1</v>
      </c>
      <c r="Y7">
        <v>280</v>
      </c>
    </row>
    <row r="8" spans="1:25" ht="22.5" customHeight="1" x14ac:dyDescent="0.35">
      <c r="A8" s="261" t="s">
        <v>44</v>
      </c>
      <c r="B8" s="262"/>
      <c r="C8" s="201" t="s">
        <v>97</v>
      </c>
      <c r="D8" s="195"/>
      <c r="E8" s="195"/>
      <c r="F8" s="195"/>
      <c r="G8" s="1"/>
      <c r="H8" s="1"/>
      <c r="I8" s="1"/>
      <c r="P8" s="180">
        <v>1</v>
      </c>
      <c r="Q8" s="184">
        <v>180</v>
      </c>
      <c r="T8" s="242" t="str">
        <f t="shared" si="0"/>
        <v>PASS</v>
      </c>
      <c r="X8">
        <v>1</v>
      </c>
      <c r="Y8">
        <v>300</v>
      </c>
    </row>
    <row r="9" spans="1:25" ht="24" customHeight="1" x14ac:dyDescent="0.35">
      <c r="A9" s="261" t="s">
        <v>45</v>
      </c>
      <c r="B9" s="262"/>
      <c r="C9" s="199" t="s">
        <v>97</v>
      </c>
      <c r="D9" s="202" t="s">
        <v>46</v>
      </c>
      <c r="E9" s="195"/>
      <c r="F9" s="195"/>
      <c r="G9" s="1"/>
      <c r="H9" s="1"/>
      <c r="I9" s="1"/>
      <c r="P9" s="180">
        <v>1</v>
      </c>
      <c r="Q9" s="184">
        <v>190</v>
      </c>
      <c r="T9" s="242" t="str">
        <f t="shared" si="0"/>
        <v>PASS</v>
      </c>
      <c r="X9">
        <v>1</v>
      </c>
      <c r="Y9">
        <v>310</v>
      </c>
    </row>
    <row r="10" spans="1:25" x14ac:dyDescent="0.35">
      <c r="B10" s="1"/>
      <c r="C10" s="1"/>
      <c r="D10" s="1"/>
      <c r="F10" s="1"/>
      <c r="G10" s="1"/>
      <c r="H10" s="1"/>
      <c r="I10" s="1"/>
      <c r="P10" s="180">
        <v>1</v>
      </c>
      <c r="Q10" s="184">
        <v>200</v>
      </c>
      <c r="T10" s="242" t="str">
        <f t="shared" si="0"/>
        <v>PASS</v>
      </c>
      <c r="X10">
        <v>1</v>
      </c>
      <c r="Y10">
        <v>320</v>
      </c>
    </row>
    <row r="11" spans="1:25" x14ac:dyDescent="0.35">
      <c r="F11" s="1"/>
      <c r="G11" s="1"/>
      <c r="H11" s="1"/>
      <c r="I11" s="1"/>
      <c r="P11" s="180">
        <v>1</v>
      </c>
      <c r="Q11" s="184">
        <v>210</v>
      </c>
      <c r="T11" s="242" t="str">
        <f t="shared" si="0"/>
        <v>PASS</v>
      </c>
      <c r="X11">
        <v>1</v>
      </c>
      <c r="Y11">
        <v>325</v>
      </c>
    </row>
    <row r="12" spans="1:25" x14ac:dyDescent="0.35">
      <c r="A12" s="252" t="s">
        <v>12</v>
      </c>
      <c r="B12" s="96"/>
      <c r="C12" s="107"/>
      <c r="D12" s="21"/>
      <c r="E12" s="21"/>
      <c r="H12" s="1"/>
      <c r="P12" s="180">
        <v>1</v>
      </c>
      <c r="Q12" s="184">
        <v>220</v>
      </c>
      <c r="T12" s="242" t="str">
        <f t="shared" si="0"/>
        <v>PASS</v>
      </c>
      <c r="X12">
        <v>1</v>
      </c>
      <c r="Y12">
        <v>340</v>
      </c>
    </row>
    <row r="13" spans="1:25" ht="26.5" customHeight="1" x14ac:dyDescent="0.35">
      <c r="A13" s="253"/>
      <c r="B13" s="255" t="s">
        <v>14</v>
      </c>
      <c r="C13" s="256"/>
      <c r="D13" s="256"/>
      <c r="E13" s="257"/>
      <c r="F13" s="258" t="s">
        <v>92</v>
      </c>
      <c r="G13" s="259"/>
      <c r="H13" s="260"/>
      <c r="I13" s="12" t="s">
        <v>18</v>
      </c>
      <c r="P13" s="180">
        <v>1</v>
      </c>
      <c r="Q13" s="184">
        <v>230</v>
      </c>
      <c r="T13" s="242" t="str">
        <f t="shared" si="0"/>
        <v>PASS</v>
      </c>
      <c r="X13">
        <v>1</v>
      </c>
      <c r="Y13">
        <v>345</v>
      </c>
    </row>
    <row r="14" spans="1:25" ht="21" x14ac:dyDescent="0.35">
      <c r="A14" s="253"/>
      <c r="B14" s="97"/>
      <c r="C14" s="108"/>
      <c r="D14" s="21"/>
      <c r="E14" s="21"/>
      <c r="F14" s="203"/>
      <c r="G14" s="200"/>
      <c r="H14" s="204"/>
      <c r="I14" s="109"/>
      <c r="P14" s="180">
        <v>1</v>
      </c>
      <c r="Q14" s="184">
        <v>240</v>
      </c>
      <c r="T14" s="242" t="str">
        <f t="shared" si="0"/>
        <v>PASS</v>
      </c>
      <c r="X14">
        <v>1</v>
      </c>
      <c r="Y14">
        <v>346</v>
      </c>
    </row>
    <row r="15" spans="1:25" ht="26.5" customHeight="1" x14ac:dyDescent="0.35">
      <c r="A15" s="253"/>
      <c r="B15" s="255" t="s">
        <v>15</v>
      </c>
      <c r="C15" s="256"/>
      <c r="D15" s="256"/>
      <c r="E15" s="257"/>
      <c r="F15" s="258" t="s">
        <v>93</v>
      </c>
      <c r="G15" s="259"/>
      <c r="H15" s="260"/>
      <c r="I15" s="12" t="s">
        <v>19</v>
      </c>
      <c r="P15" s="180">
        <v>1</v>
      </c>
      <c r="Q15" s="184">
        <v>250</v>
      </c>
      <c r="T15" s="242" t="str">
        <f t="shared" si="0"/>
        <v>PASS</v>
      </c>
      <c r="X15">
        <v>1</v>
      </c>
      <c r="Y15">
        <v>355</v>
      </c>
    </row>
    <row r="16" spans="1:25" ht="21" x14ac:dyDescent="0.35">
      <c r="A16" s="254"/>
      <c r="B16" s="97"/>
      <c r="C16" s="108"/>
      <c r="D16" s="21"/>
      <c r="E16" s="21"/>
      <c r="F16" s="203"/>
      <c r="G16" s="200"/>
      <c r="H16" s="204"/>
      <c r="I16" s="109"/>
      <c r="P16" s="180">
        <v>1</v>
      </c>
      <c r="Q16" s="184">
        <v>260</v>
      </c>
      <c r="T16" s="242" t="str">
        <f t="shared" si="0"/>
        <v>PASS</v>
      </c>
      <c r="X16">
        <v>1</v>
      </c>
      <c r="Y16">
        <v>360</v>
      </c>
    </row>
    <row r="17" spans="1:25" ht="21" x14ac:dyDescent="0.35">
      <c r="A17" s="252" t="s">
        <v>13</v>
      </c>
      <c r="B17" s="96"/>
      <c r="C17" s="107"/>
      <c r="D17" s="21"/>
      <c r="E17" s="21"/>
      <c r="F17" s="203"/>
      <c r="G17" s="200"/>
      <c r="H17" s="204"/>
      <c r="I17" s="109"/>
      <c r="P17" s="180">
        <v>1</v>
      </c>
      <c r="Q17" s="184">
        <v>270</v>
      </c>
      <c r="T17" s="242" t="str">
        <f t="shared" si="0"/>
        <v>PASS</v>
      </c>
      <c r="X17">
        <v>1</v>
      </c>
      <c r="Y17">
        <v>370</v>
      </c>
    </row>
    <row r="18" spans="1:25" ht="24" customHeight="1" x14ac:dyDescent="0.35">
      <c r="A18" s="253"/>
      <c r="B18" s="255" t="s">
        <v>37</v>
      </c>
      <c r="C18" s="256"/>
      <c r="D18" s="256"/>
      <c r="E18" s="257"/>
      <c r="F18" s="258" t="s">
        <v>93</v>
      </c>
      <c r="G18" s="259"/>
      <c r="H18" s="260"/>
      <c r="I18" s="12" t="s">
        <v>18</v>
      </c>
      <c r="P18" s="180">
        <v>1</v>
      </c>
      <c r="Q18" s="184">
        <v>280</v>
      </c>
      <c r="T18" s="242" t="str">
        <f t="shared" si="0"/>
        <v>PASS</v>
      </c>
      <c r="X18">
        <v>1</v>
      </c>
      <c r="Y18">
        <v>380</v>
      </c>
    </row>
    <row r="19" spans="1:25" ht="21" x14ac:dyDescent="0.35">
      <c r="A19" s="253"/>
      <c r="B19" s="96"/>
      <c r="C19" s="107"/>
      <c r="D19" s="21"/>
      <c r="E19" s="21"/>
      <c r="F19" s="203"/>
      <c r="G19" s="200"/>
      <c r="H19" s="204"/>
      <c r="I19" s="109"/>
      <c r="P19" s="180">
        <v>1</v>
      </c>
      <c r="Q19" s="184">
        <v>300</v>
      </c>
      <c r="T19" s="242" t="str">
        <f t="shared" si="0"/>
        <v>PASS</v>
      </c>
      <c r="X19">
        <v>1</v>
      </c>
      <c r="Y19">
        <v>390</v>
      </c>
    </row>
    <row r="20" spans="1:25" ht="27.5" customHeight="1" x14ac:dyDescent="0.35">
      <c r="A20" s="253"/>
      <c r="B20" s="255" t="s">
        <v>47</v>
      </c>
      <c r="C20" s="256"/>
      <c r="D20" s="256"/>
      <c r="E20" s="257"/>
      <c r="F20" s="258" t="s">
        <v>92</v>
      </c>
      <c r="G20" s="259"/>
      <c r="H20" s="260"/>
      <c r="I20" s="12" t="s">
        <v>19</v>
      </c>
      <c r="P20" s="180">
        <v>1</v>
      </c>
      <c r="Q20" s="184">
        <v>310</v>
      </c>
      <c r="T20" s="242" t="str">
        <f t="shared" si="0"/>
        <v>PASS</v>
      </c>
      <c r="X20">
        <v>1</v>
      </c>
      <c r="Y20">
        <v>430</v>
      </c>
    </row>
    <row r="21" spans="1:25" x14ac:dyDescent="0.35">
      <c r="A21" s="254"/>
      <c r="B21" s="96"/>
      <c r="C21" s="107"/>
      <c r="D21" s="21"/>
      <c r="E21" s="21"/>
      <c r="F21" s="109"/>
      <c r="G21" s="109"/>
      <c r="H21" s="1"/>
      <c r="P21" s="180">
        <v>1</v>
      </c>
      <c r="Q21" s="184">
        <v>340</v>
      </c>
      <c r="T21" s="242" t="str">
        <f t="shared" si="0"/>
        <v>PASS</v>
      </c>
      <c r="X21">
        <v>1</v>
      </c>
      <c r="Y21">
        <v>450</v>
      </c>
    </row>
    <row r="22" spans="1:25" x14ac:dyDescent="0.35">
      <c r="P22" s="180">
        <v>1</v>
      </c>
      <c r="Q22" s="184">
        <v>360</v>
      </c>
      <c r="T22" s="242" t="str">
        <f t="shared" si="0"/>
        <v>PASS</v>
      </c>
      <c r="X22">
        <v>1</v>
      </c>
      <c r="Y22">
        <v>475</v>
      </c>
    </row>
    <row r="23" spans="1:25" ht="15" thickBot="1" x14ac:dyDescent="0.4">
      <c r="J23" s="247" t="s">
        <v>83</v>
      </c>
      <c r="K23" s="247"/>
      <c r="P23" s="180">
        <v>1</v>
      </c>
      <c r="Q23" s="184">
        <v>380</v>
      </c>
      <c r="T23" s="242" t="str">
        <f t="shared" si="0"/>
        <v>PASS</v>
      </c>
      <c r="X23">
        <v>1</v>
      </c>
      <c r="Y23">
        <v>510</v>
      </c>
    </row>
    <row r="24" spans="1:25" ht="15" thickBot="1" x14ac:dyDescent="0.4">
      <c r="A24" s="249" t="s">
        <v>80</v>
      </c>
      <c r="B24" s="249"/>
      <c r="C24" s="249"/>
      <c r="D24" s="193" t="b">
        <v>1</v>
      </c>
      <c r="E24" s="109"/>
      <c r="F24" s="109"/>
      <c r="G24" s="109"/>
      <c r="H24" s="109"/>
      <c r="J24" s="248" t="b">
        <v>1</v>
      </c>
      <c r="K24" s="248"/>
      <c r="P24" s="180">
        <v>1</v>
      </c>
      <c r="Q24" s="184">
        <v>390</v>
      </c>
      <c r="T24" s="242" t="str">
        <f t="shared" si="0"/>
        <v>PASS</v>
      </c>
      <c r="X24">
        <v>1</v>
      </c>
      <c r="Y24">
        <v>530</v>
      </c>
    </row>
    <row r="25" spans="1:25" ht="15" thickBot="1" x14ac:dyDescent="0.4">
      <c r="A25" s="249" t="s">
        <v>81</v>
      </c>
      <c r="B25" s="249"/>
      <c r="C25" s="249"/>
      <c r="D25" s="250"/>
      <c r="E25" s="251"/>
      <c r="F25" s="251"/>
      <c r="G25" s="251"/>
      <c r="H25" s="251"/>
      <c r="J25" s="248" t="s">
        <v>84</v>
      </c>
      <c r="K25" s="248"/>
      <c r="P25" s="180">
        <v>1</v>
      </c>
      <c r="Q25" s="184">
        <v>410</v>
      </c>
      <c r="T25" s="242" t="str">
        <f t="shared" si="0"/>
        <v>PASS</v>
      </c>
      <c r="X25">
        <v>1</v>
      </c>
      <c r="Y25">
        <v>560</v>
      </c>
    </row>
    <row r="26" spans="1:25" ht="15" thickBot="1" x14ac:dyDescent="0.4">
      <c r="A26" s="249" t="s">
        <v>82</v>
      </c>
      <c r="B26" s="249"/>
      <c r="C26" s="249"/>
      <c r="D26" s="194" t="b">
        <v>1</v>
      </c>
      <c r="E26" s="109"/>
      <c r="F26" s="109"/>
      <c r="G26" s="109"/>
      <c r="H26" s="109"/>
      <c r="J26" s="248" t="b">
        <v>0</v>
      </c>
      <c r="K26" s="248"/>
      <c r="P26" s="180">
        <v>1</v>
      </c>
      <c r="Q26" s="184">
        <v>420</v>
      </c>
      <c r="T26" s="242" t="str">
        <f t="shared" si="0"/>
        <v>PASS</v>
      </c>
      <c r="X26">
        <v>1</v>
      </c>
      <c r="Y26">
        <v>660</v>
      </c>
    </row>
    <row r="27" spans="1:25" x14ac:dyDescent="0.35">
      <c r="P27" s="180">
        <v>1</v>
      </c>
      <c r="Q27" s="184">
        <v>440</v>
      </c>
      <c r="T27" s="242" t="str">
        <f t="shared" si="0"/>
        <v>PASS</v>
      </c>
      <c r="X27">
        <v>1</v>
      </c>
      <c r="Y27">
        <v>700</v>
      </c>
    </row>
    <row r="28" spans="1:25" x14ac:dyDescent="0.35">
      <c r="P28" s="180">
        <v>1</v>
      </c>
      <c r="Q28" s="184">
        <v>460</v>
      </c>
      <c r="T28" s="242" t="str">
        <f t="shared" si="0"/>
        <v>PASS</v>
      </c>
      <c r="X28">
        <v>1</v>
      </c>
      <c r="Y28">
        <v>740</v>
      </c>
    </row>
    <row r="29" spans="1:25" x14ac:dyDescent="0.35">
      <c r="A29" s="245" t="s">
        <v>86</v>
      </c>
      <c r="B29" s="245"/>
      <c r="C29" s="245"/>
      <c r="D29" s="192">
        <v>5</v>
      </c>
      <c r="P29" s="180">
        <v>1</v>
      </c>
      <c r="Q29" s="184">
        <v>480</v>
      </c>
      <c r="T29" s="242" t="str">
        <f t="shared" si="0"/>
        <v>PASS</v>
      </c>
      <c r="X29">
        <v>1</v>
      </c>
      <c r="Y29">
        <v>800</v>
      </c>
    </row>
    <row r="30" spans="1:25" x14ac:dyDescent="0.35">
      <c r="P30" s="180">
        <v>1</v>
      </c>
      <c r="Q30" s="184">
        <v>495</v>
      </c>
      <c r="T30" s="242" t="str">
        <f t="shared" si="0"/>
        <v>PASS</v>
      </c>
      <c r="X30">
        <v>1</v>
      </c>
      <c r="Y30">
        <v>850</v>
      </c>
    </row>
    <row r="31" spans="1:25" x14ac:dyDescent="0.35">
      <c r="P31" s="180">
        <v>1</v>
      </c>
      <c r="Q31" s="184">
        <v>510</v>
      </c>
      <c r="T31" s="242" t="str">
        <f t="shared" si="0"/>
        <v>PASS</v>
      </c>
      <c r="X31">
        <v>1</v>
      </c>
      <c r="Y31">
        <v>910</v>
      </c>
    </row>
    <row r="32" spans="1:25" x14ac:dyDescent="0.35">
      <c r="P32" s="180">
        <v>1</v>
      </c>
      <c r="Q32" s="184">
        <v>525</v>
      </c>
      <c r="T32" s="242" t="str">
        <f t="shared" si="0"/>
        <v>PASS</v>
      </c>
      <c r="X32">
        <v>1</v>
      </c>
      <c r="Y32">
        <v>960</v>
      </c>
    </row>
    <row r="33" spans="3:20" x14ac:dyDescent="0.35">
      <c r="P33" s="180">
        <v>1</v>
      </c>
      <c r="Q33" s="184">
        <v>540</v>
      </c>
      <c r="T33" s="242" t="str">
        <f t="shared" si="0"/>
        <v>PASS</v>
      </c>
    </row>
    <row r="34" spans="3:20" x14ac:dyDescent="0.35">
      <c r="P34" s="180">
        <v>1</v>
      </c>
      <c r="Q34" s="184">
        <v>560</v>
      </c>
      <c r="T34" s="242" t="str">
        <f t="shared" si="0"/>
        <v>PASS</v>
      </c>
    </row>
    <row r="35" spans="3:20" x14ac:dyDescent="0.35">
      <c r="C35" s="244" t="s">
        <v>91</v>
      </c>
      <c r="D35" s="244"/>
      <c r="E35" s="244"/>
      <c r="F35" s="244"/>
      <c r="P35" s="180">
        <v>1</v>
      </c>
      <c r="Q35" s="184">
        <v>580</v>
      </c>
      <c r="T35" s="242" t="str">
        <f t="shared" si="0"/>
        <v>PASS</v>
      </c>
    </row>
    <row r="36" spans="3:20" x14ac:dyDescent="0.35">
      <c r="P36" s="180">
        <v>1</v>
      </c>
      <c r="Q36" s="184">
        <v>600</v>
      </c>
      <c r="T36" s="242" t="str">
        <f t="shared" si="0"/>
        <v>PASS</v>
      </c>
    </row>
    <row r="37" spans="3:20" x14ac:dyDescent="0.35">
      <c r="P37" s="180">
        <v>1</v>
      </c>
      <c r="Q37" s="184">
        <v>640</v>
      </c>
      <c r="T37" s="242" t="str">
        <f t="shared" si="0"/>
        <v>PASS</v>
      </c>
    </row>
    <row r="38" spans="3:20" x14ac:dyDescent="0.35">
      <c r="P38" s="180">
        <v>1</v>
      </c>
      <c r="Q38" s="184">
        <v>680</v>
      </c>
      <c r="T38" s="242" t="str">
        <f t="shared" si="0"/>
        <v>PASS</v>
      </c>
    </row>
    <row r="39" spans="3:20" x14ac:dyDescent="0.35">
      <c r="P39" s="180">
        <v>1</v>
      </c>
      <c r="Q39" s="184">
        <v>720</v>
      </c>
      <c r="T39" s="242" t="str">
        <f t="shared" si="0"/>
        <v>PASS</v>
      </c>
    </row>
    <row r="40" spans="3:20" x14ac:dyDescent="0.35">
      <c r="P40" s="180">
        <v>1</v>
      </c>
      <c r="Q40" s="184">
        <v>760</v>
      </c>
      <c r="T40" s="242" t="str">
        <f t="shared" si="0"/>
        <v>PASS</v>
      </c>
    </row>
    <row r="41" spans="3:20" x14ac:dyDescent="0.35">
      <c r="P41" s="180">
        <v>1</v>
      </c>
      <c r="Q41" s="184">
        <v>790</v>
      </c>
      <c r="T41" s="242" t="str">
        <f t="shared" si="0"/>
        <v>PASS</v>
      </c>
    </row>
    <row r="42" spans="3:20" x14ac:dyDescent="0.35">
      <c r="P42" s="180">
        <v>1</v>
      </c>
      <c r="Q42" s="184">
        <v>830</v>
      </c>
      <c r="T42" s="242" t="str">
        <f t="shared" si="0"/>
        <v>PASS</v>
      </c>
    </row>
    <row r="43" spans="3:20" x14ac:dyDescent="0.35">
      <c r="P43" s="180">
        <v>1</v>
      </c>
      <c r="Q43" s="184">
        <v>860</v>
      </c>
      <c r="T43" s="242" t="str">
        <f t="shared" si="0"/>
        <v>PASS</v>
      </c>
    </row>
    <row r="44" spans="3:20" x14ac:dyDescent="0.35">
      <c r="P44" s="180">
        <v>1</v>
      </c>
      <c r="Q44" s="184">
        <v>900</v>
      </c>
      <c r="T44" s="242" t="str">
        <f t="shared" si="0"/>
        <v>PASS</v>
      </c>
    </row>
    <row r="45" spans="3:20" x14ac:dyDescent="0.35">
      <c r="P45" s="180">
        <v>1</v>
      </c>
      <c r="Q45" s="184">
        <v>940</v>
      </c>
      <c r="T45" s="242" t="str">
        <f t="shared" si="0"/>
        <v>PASS</v>
      </c>
    </row>
    <row r="46" spans="3:20" x14ac:dyDescent="0.35">
      <c r="P46" s="180">
        <v>1</v>
      </c>
      <c r="Q46" s="184">
        <v>960</v>
      </c>
      <c r="T46" s="242" t="str">
        <f t="shared" si="0"/>
        <v>PASS</v>
      </c>
    </row>
    <row r="47" spans="3:20" x14ac:dyDescent="0.35">
      <c r="P47" s="180"/>
      <c r="Q47" s="184"/>
      <c r="T47" s="242" t="str">
        <f t="shared" si="0"/>
        <v/>
      </c>
    </row>
    <row r="48" spans="3:20" x14ac:dyDescent="0.35">
      <c r="P48" s="180"/>
      <c r="Q48" s="184"/>
      <c r="T48" s="242" t="str">
        <f t="shared" si="0"/>
        <v/>
      </c>
    </row>
    <row r="49" spans="16:20" x14ac:dyDescent="0.35">
      <c r="P49" s="180"/>
      <c r="Q49" s="184"/>
      <c r="T49" s="242" t="str">
        <f t="shared" si="0"/>
        <v/>
      </c>
    </row>
    <row r="50" spans="16:20" x14ac:dyDescent="0.35">
      <c r="P50" s="180"/>
      <c r="Q50" s="184"/>
      <c r="T50" s="242" t="str">
        <f t="shared" si="0"/>
        <v/>
      </c>
    </row>
    <row r="51" spans="16:20" x14ac:dyDescent="0.35">
      <c r="P51" s="180"/>
      <c r="Q51" s="184"/>
      <c r="T51" s="242" t="str">
        <f t="shared" si="0"/>
        <v/>
      </c>
    </row>
    <row r="52" spans="16:20" x14ac:dyDescent="0.35">
      <c r="P52" s="180"/>
      <c r="Q52" s="184"/>
      <c r="T52" s="242" t="str">
        <f t="shared" si="0"/>
        <v/>
      </c>
    </row>
    <row r="53" spans="16:20" x14ac:dyDescent="0.35">
      <c r="P53" s="180"/>
      <c r="Q53" s="184"/>
      <c r="T53" s="242" t="str">
        <f t="shared" si="0"/>
        <v/>
      </c>
    </row>
    <row r="54" spans="16:20" x14ac:dyDescent="0.35">
      <c r="P54" s="180"/>
      <c r="Q54" s="184"/>
      <c r="T54" s="242" t="str">
        <f t="shared" si="0"/>
        <v/>
      </c>
    </row>
    <row r="55" spans="16:20" x14ac:dyDescent="0.35">
      <c r="P55" s="180"/>
      <c r="Q55" s="184"/>
      <c r="T55" s="242" t="str">
        <f t="shared" si="0"/>
        <v/>
      </c>
    </row>
    <row r="56" spans="16:20" x14ac:dyDescent="0.35">
      <c r="P56" s="180"/>
      <c r="Q56" s="184"/>
      <c r="T56" s="242" t="str">
        <f t="shared" si="0"/>
        <v/>
      </c>
    </row>
    <row r="57" spans="16:20" x14ac:dyDescent="0.35">
      <c r="P57" s="180"/>
      <c r="Q57" s="184"/>
      <c r="T57" s="242" t="str">
        <f t="shared" si="0"/>
        <v/>
      </c>
    </row>
    <row r="58" spans="16:20" x14ac:dyDescent="0.35">
      <c r="P58" s="180"/>
      <c r="Q58" s="184"/>
      <c r="T58" s="242" t="str">
        <f t="shared" si="0"/>
        <v/>
      </c>
    </row>
    <row r="59" spans="16:20" x14ac:dyDescent="0.35">
      <c r="P59" s="180"/>
      <c r="Q59" s="184"/>
      <c r="T59" s="242" t="str">
        <f t="shared" si="0"/>
        <v/>
      </c>
    </row>
    <row r="60" spans="16:20" x14ac:dyDescent="0.35">
      <c r="P60" s="180"/>
      <c r="Q60" s="184"/>
      <c r="T60" s="242" t="str">
        <f t="shared" si="0"/>
        <v/>
      </c>
    </row>
    <row r="61" spans="16:20" x14ac:dyDescent="0.35">
      <c r="P61" s="180"/>
      <c r="Q61" s="184"/>
      <c r="T61" s="242" t="str">
        <f t="shared" si="0"/>
        <v/>
      </c>
    </row>
    <row r="62" spans="16:20" x14ac:dyDescent="0.35">
      <c r="P62" s="180"/>
      <c r="Q62" s="184"/>
      <c r="T62" s="242" t="str">
        <f t="shared" si="0"/>
        <v/>
      </c>
    </row>
    <row r="63" spans="16:20" x14ac:dyDescent="0.35">
      <c r="P63" s="180"/>
      <c r="Q63" s="184"/>
      <c r="T63" s="242" t="str">
        <f t="shared" si="0"/>
        <v/>
      </c>
    </row>
    <row r="64" spans="16:20" x14ac:dyDescent="0.35">
      <c r="P64" s="180"/>
      <c r="Q64" s="184"/>
      <c r="T64" s="242" t="str">
        <f t="shared" si="0"/>
        <v/>
      </c>
    </row>
    <row r="65" spans="16:20" x14ac:dyDescent="0.35">
      <c r="P65" s="180"/>
      <c r="Q65" s="184"/>
      <c r="T65" s="242" t="str">
        <f t="shared" si="0"/>
        <v/>
      </c>
    </row>
    <row r="66" spans="16:20" x14ac:dyDescent="0.35">
      <c r="P66" s="180"/>
      <c r="Q66" s="184"/>
      <c r="T66" s="242" t="str">
        <f t="shared" si="0"/>
        <v/>
      </c>
    </row>
    <row r="67" spans="16:20" x14ac:dyDescent="0.35">
      <c r="P67" s="180"/>
      <c r="Q67" s="184"/>
      <c r="T67" s="242" t="str">
        <f t="shared" si="0"/>
        <v/>
      </c>
    </row>
    <row r="68" spans="16:20" x14ac:dyDescent="0.35">
      <c r="P68" s="180"/>
      <c r="Q68" s="184"/>
      <c r="T68" s="242" t="str">
        <f t="shared" si="0"/>
        <v/>
      </c>
    </row>
    <row r="69" spans="16:20" x14ac:dyDescent="0.35">
      <c r="P69" s="180"/>
      <c r="Q69" s="184"/>
      <c r="T69" s="242" t="str">
        <f t="shared" ref="T69:T132" si="1">IF(Q69&lt;&gt;"",(IF((Q69-Q68)&gt;0,"PASS","FAIL")),"")</f>
        <v/>
      </c>
    </row>
    <row r="70" spans="16:20" x14ac:dyDescent="0.35">
      <c r="P70" s="180"/>
      <c r="Q70" s="184"/>
      <c r="T70" s="242" t="str">
        <f t="shared" si="1"/>
        <v/>
      </c>
    </row>
    <row r="71" spans="16:20" x14ac:dyDescent="0.35">
      <c r="P71" s="180"/>
      <c r="Q71" s="184"/>
      <c r="T71" s="242" t="str">
        <f t="shared" si="1"/>
        <v/>
      </c>
    </row>
    <row r="72" spans="16:20" x14ac:dyDescent="0.35">
      <c r="P72" s="180"/>
      <c r="Q72" s="184"/>
      <c r="T72" s="242" t="str">
        <f t="shared" si="1"/>
        <v/>
      </c>
    </row>
    <row r="73" spans="16:20" x14ac:dyDescent="0.35">
      <c r="P73" s="180"/>
      <c r="Q73" s="184"/>
      <c r="T73" s="242" t="str">
        <f t="shared" si="1"/>
        <v/>
      </c>
    </row>
    <row r="74" spans="16:20" x14ac:dyDescent="0.35">
      <c r="P74" s="180"/>
      <c r="Q74" s="184"/>
      <c r="T74" s="242" t="str">
        <f t="shared" si="1"/>
        <v/>
      </c>
    </row>
    <row r="75" spans="16:20" x14ac:dyDescent="0.35">
      <c r="P75" s="180"/>
      <c r="Q75" s="184"/>
      <c r="T75" s="242" t="str">
        <f t="shared" si="1"/>
        <v/>
      </c>
    </row>
    <row r="76" spans="16:20" x14ac:dyDescent="0.35">
      <c r="P76" s="180"/>
      <c r="Q76" s="184"/>
      <c r="T76" s="242" t="str">
        <f t="shared" si="1"/>
        <v/>
      </c>
    </row>
    <row r="77" spans="16:20" x14ac:dyDescent="0.35">
      <c r="P77" s="180"/>
      <c r="Q77" s="184"/>
      <c r="T77" s="242" t="str">
        <f t="shared" si="1"/>
        <v/>
      </c>
    </row>
    <row r="78" spans="16:20" x14ac:dyDescent="0.35">
      <c r="P78" s="180"/>
      <c r="Q78" s="184"/>
      <c r="T78" s="242" t="str">
        <f t="shared" si="1"/>
        <v/>
      </c>
    </row>
    <row r="79" spans="16:20" x14ac:dyDescent="0.35">
      <c r="P79" s="180"/>
      <c r="Q79" s="184"/>
      <c r="T79" s="242" t="str">
        <f t="shared" si="1"/>
        <v/>
      </c>
    </row>
    <row r="80" spans="16:20" x14ac:dyDescent="0.35">
      <c r="P80" s="180"/>
      <c r="Q80" s="184"/>
      <c r="T80" s="242" t="str">
        <f t="shared" si="1"/>
        <v/>
      </c>
    </row>
    <row r="81" spans="16:20" x14ac:dyDescent="0.35">
      <c r="P81" s="180"/>
      <c r="Q81" s="184"/>
      <c r="T81" s="242" t="str">
        <f t="shared" si="1"/>
        <v/>
      </c>
    </row>
    <row r="82" spans="16:20" x14ac:dyDescent="0.35">
      <c r="P82" s="180"/>
      <c r="Q82" s="184"/>
      <c r="T82" s="242" t="str">
        <f t="shared" si="1"/>
        <v/>
      </c>
    </row>
    <row r="83" spans="16:20" x14ac:dyDescent="0.35">
      <c r="P83" s="180"/>
      <c r="Q83" s="184"/>
      <c r="T83" s="242" t="str">
        <f t="shared" si="1"/>
        <v/>
      </c>
    </row>
    <row r="84" spans="16:20" x14ac:dyDescent="0.35">
      <c r="P84" s="180"/>
      <c r="Q84" s="184"/>
      <c r="T84" s="242" t="str">
        <f t="shared" si="1"/>
        <v/>
      </c>
    </row>
    <row r="85" spans="16:20" x14ac:dyDescent="0.35">
      <c r="P85" s="180"/>
      <c r="Q85" s="184"/>
      <c r="T85" s="242" t="str">
        <f t="shared" si="1"/>
        <v/>
      </c>
    </row>
    <row r="86" spans="16:20" x14ac:dyDescent="0.35">
      <c r="P86" s="180"/>
      <c r="Q86" s="184"/>
      <c r="T86" s="242" t="str">
        <f t="shared" si="1"/>
        <v/>
      </c>
    </row>
    <row r="87" spans="16:20" x14ac:dyDescent="0.35">
      <c r="P87" s="180"/>
      <c r="Q87" s="184"/>
      <c r="T87" s="242" t="str">
        <f t="shared" si="1"/>
        <v/>
      </c>
    </row>
    <row r="88" spans="16:20" x14ac:dyDescent="0.35">
      <c r="P88" s="180"/>
      <c r="Q88" s="184"/>
      <c r="T88" s="242" t="str">
        <f t="shared" si="1"/>
        <v/>
      </c>
    </row>
    <row r="89" spans="16:20" x14ac:dyDescent="0.35">
      <c r="P89" s="180"/>
      <c r="Q89" s="184"/>
      <c r="T89" s="242" t="str">
        <f t="shared" si="1"/>
        <v/>
      </c>
    </row>
    <row r="90" spans="16:20" x14ac:dyDescent="0.35">
      <c r="P90" s="180"/>
      <c r="Q90" s="184"/>
      <c r="T90" s="242" t="str">
        <f t="shared" si="1"/>
        <v/>
      </c>
    </row>
    <row r="91" spans="16:20" x14ac:dyDescent="0.35">
      <c r="P91" s="180"/>
      <c r="Q91" s="184"/>
      <c r="T91" s="242" t="str">
        <f t="shared" si="1"/>
        <v/>
      </c>
    </row>
    <row r="92" spans="16:20" x14ac:dyDescent="0.35">
      <c r="P92" s="180"/>
      <c r="Q92" s="184"/>
      <c r="T92" s="242" t="str">
        <f t="shared" si="1"/>
        <v/>
      </c>
    </row>
    <row r="93" spans="16:20" x14ac:dyDescent="0.35">
      <c r="P93" s="180"/>
      <c r="Q93" s="184"/>
      <c r="T93" s="242" t="str">
        <f t="shared" si="1"/>
        <v/>
      </c>
    </row>
    <row r="94" spans="16:20" x14ac:dyDescent="0.35">
      <c r="P94" s="180"/>
      <c r="Q94" s="184"/>
      <c r="T94" s="242" t="str">
        <f t="shared" si="1"/>
        <v/>
      </c>
    </row>
    <row r="95" spans="16:20" x14ac:dyDescent="0.35">
      <c r="P95" s="180"/>
      <c r="Q95" s="184"/>
      <c r="T95" s="242" t="str">
        <f t="shared" si="1"/>
        <v/>
      </c>
    </row>
    <row r="96" spans="16:20" x14ac:dyDescent="0.35">
      <c r="P96" s="180"/>
      <c r="Q96" s="184"/>
      <c r="T96" s="242" t="str">
        <f t="shared" si="1"/>
        <v/>
      </c>
    </row>
    <row r="97" spans="16:20" x14ac:dyDescent="0.35">
      <c r="P97" s="180"/>
      <c r="Q97" s="184"/>
      <c r="T97" s="242" t="str">
        <f t="shared" si="1"/>
        <v/>
      </c>
    </row>
    <row r="98" spans="16:20" x14ac:dyDescent="0.35">
      <c r="P98" s="180"/>
      <c r="Q98" s="184"/>
      <c r="T98" s="242" t="str">
        <f t="shared" si="1"/>
        <v/>
      </c>
    </row>
    <row r="99" spans="16:20" x14ac:dyDescent="0.35">
      <c r="P99" s="180"/>
      <c r="Q99" s="184"/>
      <c r="T99" s="242" t="str">
        <f t="shared" si="1"/>
        <v/>
      </c>
    </row>
    <row r="100" spans="16:20" x14ac:dyDescent="0.35">
      <c r="P100" s="180"/>
      <c r="Q100" s="184"/>
      <c r="T100" s="242" t="str">
        <f t="shared" si="1"/>
        <v/>
      </c>
    </row>
    <row r="101" spans="16:20" x14ac:dyDescent="0.35">
      <c r="P101" s="180"/>
      <c r="Q101" s="184"/>
      <c r="T101" s="242" t="str">
        <f t="shared" si="1"/>
        <v/>
      </c>
    </row>
    <row r="102" spans="16:20" x14ac:dyDescent="0.35">
      <c r="P102" s="180"/>
      <c r="Q102" s="184"/>
      <c r="T102" s="242" t="str">
        <f t="shared" si="1"/>
        <v/>
      </c>
    </row>
    <row r="103" spans="16:20" x14ac:dyDescent="0.35">
      <c r="P103" s="180"/>
      <c r="Q103" s="184"/>
      <c r="T103" s="242" t="str">
        <f t="shared" si="1"/>
        <v/>
      </c>
    </row>
    <row r="104" spans="16:20" x14ac:dyDescent="0.35">
      <c r="P104" s="180"/>
      <c r="Q104" s="184"/>
      <c r="T104" s="242" t="str">
        <f t="shared" si="1"/>
        <v/>
      </c>
    </row>
    <row r="105" spans="16:20" x14ac:dyDescent="0.35">
      <c r="P105" s="180"/>
      <c r="Q105" s="184"/>
      <c r="T105" s="242" t="str">
        <f t="shared" si="1"/>
        <v/>
      </c>
    </row>
    <row r="106" spans="16:20" x14ac:dyDescent="0.35">
      <c r="P106" s="180"/>
      <c r="Q106" s="184"/>
      <c r="T106" s="242" t="str">
        <f t="shared" si="1"/>
        <v/>
      </c>
    </row>
    <row r="107" spans="16:20" x14ac:dyDescent="0.35">
      <c r="P107" s="180"/>
      <c r="Q107" s="184"/>
      <c r="T107" s="242" t="str">
        <f t="shared" si="1"/>
        <v/>
      </c>
    </row>
    <row r="108" spans="16:20" x14ac:dyDescent="0.35">
      <c r="P108" s="180"/>
      <c r="Q108" s="184"/>
      <c r="T108" s="242" t="str">
        <f t="shared" si="1"/>
        <v/>
      </c>
    </row>
    <row r="109" spans="16:20" x14ac:dyDescent="0.35">
      <c r="P109" s="180"/>
      <c r="Q109" s="184"/>
      <c r="T109" s="242" t="str">
        <f t="shared" si="1"/>
        <v/>
      </c>
    </row>
    <row r="110" spans="16:20" x14ac:dyDescent="0.35">
      <c r="P110" s="180"/>
      <c r="Q110" s="184"/>
      <c r="T110" s="242" t="str">
        <f t="shared" si="1"/>
        <v/>
      </c>
    </row>
    <row r="111" spans="16:20" x14ac:dyDescent="0.35">
      <c r="P111" s="180"/>
      <c r="Q111" s="184"/>
      <c r="T111" s="242" t="str">
        <f t="shared" si="1"/>
        <v/>
      </c>
    </row>
    <row r="112" spans="16:20" x14ac:dyDescent="0.35">
      <c r="P112" s="180"/>
      <c r="Q112" s="184"/>
      <c r="T112" s="242" t="str">
        <f t="shared" si="1"/>
        <v/>
      </c>
    </row>
    <row r="113" spans="16:20" x14ac:dyDescent="0.35">
      <c r="P113" s="180"/>
      <c r="Q113" s="184"/>
      <c r="T113" s="242" t="str">
        <f t="shared" si="1"/>
        <v/>
      </c>
    </row>
    <row r="114" spans="16:20" x14ac:dyDescent="0.35">
      <c r="P114" s="180"/>
      <c r="Q114" s="184"/>
      <c r="T114" s="242" t="str">
        <f t="shared" si="1"/>
        <v/>
      </c>
    </row>
    <row r="115" spans="16:20" x14ac:dyDescent="0.35">
      <c r="P115" s="180"/>
      <c r="Q115" s="184"/>
      <c r="T115" s="242" t="str">
        <f t="shared" si="1"/>
        <v/>
      </c>
    </row>
    <row r="116" spans="16:20" x14ac:dyDescent="0.35">
      <c r="P116" s="180"/>
      <c r="Q116" s="184"/>
      <c r="T116" s="242" t="str">
        <f t="shared" si="1"/>
        <v/>
      </c>
    </row>
    <row r="117" spans="16:20" x14ac:dyDescent="0.35">
      <c r="P117" s="180"/>
      <c r="Q117" s="184"/>
      <c r="T117" s="242" t="str">
        <f t="shared" si="1"/>
        <v/>
      </c>
    </row>
    <row r="118" spans="16:20" x14ac:dyDescent="0.35">
      <c r="P118" s="180"/>
      <c r="Q118" s="184"/>
      <c r="T118" s="242" t="str">
        <f t="shared" si="1"/>
        <v/>
      </c>
    </row>
    <row r="119" spans="16:20" x14ac:dyDescent="0.35">
      <c r="P119" s="180"/>
      <c r="Q119" s="184"/>
      <c r="T119" s="242" t="str">
        <f t="shared" si="1"/>
        <v/>
      </c>
    </row>
    <row r="120" spans="16:20" x14ac:dyDescent="0.35">
      <c r="P120" s="180"/>
      <c r="Q120" s="184"/>
      <c r="T120" s="242" t="str">
        <f t="shared" si="1"/>
        <v/>
      </c>
    </row>
    <row r="121" spans="16:20" x14ac:dyDescent="0.35">
      <c r="P121" s="180"/>
      <c r="Q121" s="184"/>
      <c r="T121" s="242" t="str">
        <f t="shared" si="1"/>
        <v/>
      </c>
    </row>
    <row r="122" spans="16:20" x14ac:dyDescent="0.35">
      <c r="P122" s="180"/>
      <c r="Q122" s="184"/>
      <c r="T122" s="242" t="str">
        <f t="shared" si="1"/>
        <v/>
      </c>
    </row>
    <row r="123" spans="16:20" x14ac:dyDescent="0.35">
      <c r="P123" s="180"/>
      <c r="Q123" s="184"/>
      <c r="T123" s="242" t="str">
        <f t="shared" si="1"/>
        <v/>
      </c>
    </row>
    <row r="124" spans="16:20" x14ac:dyDescent="0.35">
      <c r="P124" s="180"/>
      <c r="Q124" s="184"/>
      <c r="T124" s="242" t="str">
        <f t="shared" si="1"/>
        <v/>
      </c>
    </row>
    <row r="125" spans="16:20" x14ac:dyDescent="0.35">
      <c r="P125" s="180"/>
      <c r="Q125" s="184"/>
      <c r="T125" s="242" t="str">
        <f t="shared" si="1"/>
        <v/>
      </c>
    </row>
    <row r="126" spans="16:20" x14ac:dyDescent="0.35">
      <c r="P126" s="180"/>
      <c r="Q126" s="184"/>
      <c r="T126" s="242" t="str">
        <f t="shared" si="1"/>
        <v/>
      </c>
    </row>
    <row r="127" spans="16:20" x14ac:dyDescent="0.35">
      <c r="P127" s="180"/>
      <c r="Q127" s="184"/>
      <c r="T127" s="242" t="str">
        <f t="shared" si="1"/>
        <v/>
      </c>
    </row>
    <row r="128" spans="16:20" x14ac:dyDescent="0.35">
      <c r="P128" s="180"/>
      <c r="Q128" s="184"/>
      <c r="T128" s="242" t="str">
        <f t="shared" si="1"/>
        <v/>
      </c>
    </row>
    <row r="129" spans="16:20" x14ac:dyDescent="0.35">
      <c r="P129" s="180"/>
      <c r="Q129" s="184"/>
      <c r="T129" s="242" t="str">
        <f t="shared" si="1"/>
        <v/>
      </c>
    </row>
    <row r="130" spans="16:20" x14ac:dyDescent="0.35">
      <c r="P130" s="180"/>
      <c r="Q130" s="184"/>
      <c r="T130" s="242" t="str">
        <f t="shared" si="1"/>
        <v/>
      </c>
    </row>
    <row r="131" spans="16:20" x14ac:dyDescent="0.35">
      <c r="P131" s="180"/>
      <c r="Q131" s="184"/>
      <c r="T131" s="242" t="str">
        <f t="shared" si="1"/>
        <v/>
      </c>
    </row>
    <row r="132" spans="16:20" x14ac:dyDescent="0.35">
      <c r="P132" s="180"/>
      <c r="Q132" s="184"/>
      <c r="T132" s="242" t="str">
        <f t="shared" si="1"/>
        <v/>
      </c>
    </row>
    <row r="133" spans="16:20" x14ac:dyDescent="0.35">
      <c r="P133" s="180"/>
      <c r="Q133" s="184"/>
      <c r="T133" s="242" t="str">
        <f t="shared" ref="T133:T160" si="2">IF(Q133&lt;&gt;"",(IF((Q133-Q132)&gt;0,"PASS","FAIL")),"")</f>
        <v/>
      </c>
    </row>
    <row r="134" spans="16:20" x14ac:dyDescent="0.35">
      <c r="P134" s="180"/>
      <c r="Q134" s="184"/>
      <c r="T134" s="242" t="str">
        <f t="shared" si="2"/>
        <v/>
      </c>
    </row>
    <row r="135" spans="16:20" x14ac:dyDescent="0.35">
      <c r="P135" s="180"/>
      <c r="Q135" s="184"/>
      <c r="T135" s="242" t="str">
        <f t="shared" si="2"/>
        <v/>
      </c>
    </row>
    <row r="136" spans="16:20" x14ac:dyDescent="0.35">
      <c r="P136" s="180"/>
      <c r="Q136" s="184"/>
      <c r="T136" s="242" t="str">
        <f t="shared" si="2"/>
        <v/>
      </c>
    </row>
    <row r="137" spans="16:20" x14ac:dyDescent="0.35">
      <c r="P137" s="180"/>
      <c r="Q137" s="184"/>
      <c r="T137" s="242" t="str">
        <f t="shared" si="2"/>
        <v/>
      </c>
    </row>
    <row r="138" spans="16:20" x14ac:dyDescent="0.35">
      <c r="P138" s="180"/>
      <c r="Q138" s="184"/>
      <c r="T138" s="242" t="str">
        <f t="shared" si="2"/>
        <v/>
      </c>
    </row>
    <row r="139" spans="16:20" x14ac:dyDescent="0.35">
      <c r="P139" s="180"/>
      <c r="Q139" s="184"/>
      <c r="T139" s="242" t="str">
        <f t="shared" si="2"/>
        <v/>
      </c>
    </row>
    <row r="140" spans="16:20" x14ac:dyDescent="0.35">
      <c r="P140" s="180"/>
      <c r="Q140" s="184"/>
      <c r="T140" s="242" t="str">
        <f t="shared" si="2"/>
        <v/>
      </c>
    </row>
    <row r="141" spans="16:20" x14ac:dyDescent="0.35">
      <c r="P141" s="180"/>
      <c r="Q141" s="184"/>
      <c r="T141" s="242" t="str">
        <f t="shared" si="2"/>
        <v/>
      </c>
    </row>
    <row r="142" spans="16:20" x14ac:dyDescent="0.35">
      <c r="P142" s="180"/>
      <c r="Q142" s="184"/>
      <c r="T142" s="242" t="str">
        <f t="shared" si="2"/>
        <v/>
      </c>
    </row>
    <row r="143" spans="16:20" x14ac:dyDescent="0.35">
      <c r="P143" s="180"/>
      <c r="Q143" s="184"/>
      <c r="T143" s="242" t="str">
        <f t="shared" si="2"/>
        <v/>
      </c>
    </row>
    <row r="144" spans="16:20" x14ac:dyDescent="0.35">
      <c r="P144" s="180"/>
      <c r="Q144" s="184"/>
      <c r="T144" s="242" t="str">
        <f t="shared" si="2"/>
        <v/>
      </c>
    </row>
    <row r="145" spans="16:20" x14ac:dyDescent="0.35">
      <c r="P145" s="180"/>
      <c r="Q145" s="184"/>
      <c r="T145" s="242" t="str">
        <f t="shared" si="2"/>
        <v/>
      </c>
    </row>
    <row r="146" spans="16:20" x14ac:dyDescent="0.35">
      <c r="P146" s="180"/>
      <c r="Q146" s="184"/>
      <c r="T146" s="242" t="str">
        <f t="shared" si="2"/>
        <v/>
      </c>
    </row>
    <row r="147" spans="16:20" x14ac:dyDescent="0.35">
      <c r="P147" s="180"/>
      <c r="Q147" s="184"/>
      <c r="T147" s="242" t="str">
        <f t="shared" si="2"/>
        <v/>
      </c>
    </row>
    <row r="148" spans="16:20" x14ac:dyDescent="0.35">
      <c r="P148" s="180"/>
      <c r="Q148" s="184"/>
      <c r="T148" s="242" t="str">
        <f t="shared" si="2"/>
        <v/>
      </c>
    </row>
    <row r="149" spans="16:20" x14ac:dyDescent="0.35">
      <c r="P149" s="180"/>
      <c r="Q149" s="184"/>
      <c r="T149" s="242" t="str">
        <f t="shared" si="2"/>
        <v/>
      </c>
    </row>
    <row r="150" spans="16:20" x14ac:dyDescent="0.35">
      <c r="P150" s="180"/>
      <c r="Q150" s="184"/>
      <c r="T150" s="242" t="str">
        <f t="shared" si="2"/>
        <v/>
      </c>
    </row>
    <row r="151" spans="16:20" x14ac:dyDescent="0.35">
      <c r="P151" s="180"/>
      <c r="Q151" s="184"/>
      <c r="T151" s="242" t="str">
        <f t="shared" si="2"/>
        <v/>
      </c>
    </row>
    <row r="152" spans="16:20" x14ac:dyDescent="0.35">
      <c r="P152" s="180"/>
      <c r="Q152" s="184"/>
      <c r="T152" s="242" t="str">
        <f t="shared" si="2"/>
        <v/>
      </c>
    </row>
    <row r="153" spans="16:20" x14ac:dyDescent="0.35">
      <c r="P153" s="180"/>
      <c r="Q153" s="184"/>
      <c r="T153" s="242" t="str">
        <f t="shared" si="2"/>
        <v/>
      </c>
    </row>
    <row r="154" spans="16:20" x14ac:dyDescent="0.35">
      <c r="P154" s="180"/>
      <c r="Q154" s="184"/>
      <c r="T154" s="242" t="str">
        <f t="shared" si="2"/>
        <v/>
      </c>
    </row>
    <row r="155" spans="16:20" x14ac:dyDescent="0.35">
      <c r="P155" s="180"/>
      <c r="Q155" s="184"/>
      <c r="T155" s="242" t="str">
        <f t="shared" si="2"/>
        <v/>
      </c>
    </row>
    <row r="156" spans="16:20" x14ac:dyDescent="0.35">
      <c r="P156" s="180"/>
      <c r="Q156" s="184"/>
      <c r="T156" s="242" t="str">
        <f t="shared" si="2"/>
        <v/>
      </c>
    </row>
    <row r="157" spans="16:20" x14ac:dyDescent="0.35">
      <c r="P157" s="180"/>
      <c r="Q157" s="184"/>
      <c r="T157" s="242" t="str">
        <f t="shared" si="2"/>
        <v/>
      </c>
    </row>
    <row r="158" spans="16:20" x14ac:dyDescent="0.35">
      <c r="P158" s="180"/>
      <c r="Q158" s="184"/>
      <c r="T158" s="242" t="str">
        <f t="shared" si="2"/>
        <v/>
      </c>
    </row>
    <row r="159" spans="16:20" x14ac:dyDescent="0.35">
      <c r="P159" s="180"/>
      <c r="Q159" s="184"/>
      <c r="T159" s="242" t="str">
        <f t="shared" si="2"/>
        <v/>
      </c>
    </row>
    <row r="160" spans="16:20" ht="15" thickBot="1" x14ac:dyDescent="0.4">
      <c r="P160" s="182"/>
      <c r="Q160" s="185"/>
      <c r="T160" s="242" t="str">
        <f t="shared" si="2"/>
        <v/>
      </c>
    </row>
    <row r="161" spans="16:17" x14ac:dyDescent="0.35">
      <c r="P161" s="104"/>
      <c r="Q161" s="104"/>
    </row>
    <row r="162" spans="16:17" x14ac:dyDescent="0.35">
      <c r="P162" s="104"/>
      <c r="Q162" s="104"/>
    </row>
    <row r="163" spans="16:17" x14ac:dyDescent="0.35">
      <c r="P163" s="104"/>
      <c r="Q163" s="104"/>
    </row>
    <row r="164" spans="16:17" x14ac:dyDescent="0.35">
      <c r="P164" s="104"/>
      <c r="Q164" s="104"/>
    </row>
    <row r="165" spans="16:17" x14ac:dyDescent="0.35">
      <c r="P165" s="104"/>
      <c r="Q165" s="104"/>
    </row>
    <row r="166" spans="16:17" x14ac:dyDescent="0.35">
      <c r="P166" s="104"/>
      <c r="Q166" s="104"/>
    </row>
    <row r="167" spans="16:17" x14ac:dyDescent="0.35">
      <c r="P167" s="104"/>
      <c r="Q167" s="104"/>
    </row>
    <row r="168" spans="16:17" x14ac:dyDescent="0.35">
      <c r="P168" s="104"/>
      <c r="Q168" s="104"/>
    </row>
    <row r="169" spans="16:17" x14ac:dyDescent="0.35">
      <c r="P169" s="104"/>
      <c r="Q169" s="104"/>
    </row>
    <row r="170" spans="16:17" x14ac:dyDescent="0.35">
      <c r="P170" s="104"/>
      <c r="Q170" s="104"/>
    </row>
    <row r="171" spans="16:17" x14ac:dyDescent="0.35">
      <c r="P171" s="104"/>
      <c r="Q171" s="104"/>
    </row>
    <row r="172" spans="16:17" x14ac:dyDescent="0.35">
      <c r="P172" s="104"/>
      <c r="Q172" s="104"/>
    </row>
    <row r="173" spans="16:17" x14ac:dyDescent="0.35">
      <c r="P173" s="104"/>
      <c r="Q173" s="104"/>
    </row>
    <row r="174" spans="16:17" x14ac:dyDescent="0.35">
      <c r="P174" s="104"/>
      <c r="Q174" s="104"/>
    </row>
    <row r="175" spans="16:17" x14ac:dyDescent="0.35">
      <c r="P175" s="104"/>
      <c r="Q175" s="104"/>
    </row>
    <row r="176" spans="16:17" x14ac:dyDescent="0.35">
      <c r="P176" s="104"/>
      <c r="Q176" s="104"/>
    </row>
    <row r="177" spans="16:17" x14ac:dyDescent="0.35">
      <c r="P177" s="104"/>
      <c r="Q177" s="104"/>
    </row>
    <row r="178" spans="16:17" x14ac:dyDescent="0.35">
      <c r="P178" s="104"/>
      <c r="Q178" s="104"/>
    </row>
    <row r="179" spans="16:17" x14ac:dyDescent="0.35">
      <c r="P179" s="104"/>
      <c r="Q179" s="104"/>
    </row>
    <row r="180" spans="16:17" x14ac:dyDescent="0.35">
      <c r="P180" s="104"/>
      <c r="Q180" s="104"/>
    </row>
    <row r="181" spans="16:17" x14ac:dyDescent="0.35">
      <c r="P181" s="104"/>
      <c r="Q181" s="104"/>
    </row>
    <row r="182" spans="16:17" x14ac:dyDescent="0.35">
      <c r="P182" s="104"/>
      <c r="Q182" s="104"/>
    </row>
    <row r="183" spans="16:17" x14ac:dyDescent="0.35">
      <c r="P183" s="104"/>
      <c r="Q183" s="104"/>
    </row>
    <row r="184" spans="16:17" x14ac:dyDescent="0.35">
      <c r="P184" s="104"/>
      <c r="Q184" s="104"/>
    </row>
    <row r="185" spans="16:17" x14ac:dyDescent="0.35">
      <c r="P185" s="104"/>
      <c r="Q185" s="104"/>
    </row>
    <row r="186" spans="16:17" x14ac:dyDescent="0.35">
      <c r="P186" s="104"/>
      <c r="Q186" s="104"/>
    </row>
    <row r="187" spans="16:17" x14ac:dyDescent="0.35">
      <c r="P187" s="104"/>
      <c r="Q187" s="104"/>
    </row>
    <row r="188" spans="16:17" x14ac:dyDescent="0.35">
      <c r="P188" s="104"/>
      <c r="Q188" s="104"/>
    </row>
    <row r="189" spans="16:17" x14ac:dyDescent="0.35">
      <c r="P189" s="104"/>
      <c r="Q189" s="104"/>
    </row>
    <row r="190" spans="16:17" x14ac:dyDescent="0.35">
      <c r="P190" s="104"/>
      <c r="Q190" s="104"/>
    </row>
    <row r="191" spans="16:17" x14ac:dyDescent="0.35">
      <c r="P191" s="104"/>
      <c r="Q191" s="104"/>
    </row>
  </sheetData>
  <mergeCells count="35">
    <mergeCell ref="A9:B9"/>
    <mergeCell ref="X2:Y2"/>
    <mergeCell ref="A8:B8"/>
    <mergeCell ref="A3:B3"/>
    <mergeCell ref="C1:E1"/>
    <mergeCell ref="C3:E3"/>
    <mergeCell ref="A1:B1"/>
    <mergeCell ref="A2:B2"/>
    <mergeCell ref="C2:F2"/>
    <mergeCell ref="A4:B4"/>
    <mergeCell ref="C4:I4"/>
    <mergeCell ref="C5:E5"/>
    <mergeCell ref="A6:B6"/>
    <mergeCell ref="A7:B7"/>
    <mergeCell ref="A17:A21"/>
    <mergeCell ref="B18:E18"/>
    <mergeCell ref="F18:H18"/>
    <mergeCell ref="B20:E20"/>
    <mergeCell ref="F20:H20"/>
    <mergeCell ref="C35:F35"/>
    <mergeCell ref="A29:C29"/>
    <mergeCell ref="O1:R1"/>
    <mergeCell ref="J23:K23"/>
    <mergeCell ref="J26:K26"/>
    <mergeCell ref="J25:K25"/>
    <mergeCell ref="J24:K24"/>
    <mergeCell ref="A24:C24"/>
    <mergeCell ref="A25:C25"/>
    <mergeCell ref="D25:H25"/>
    <mergeCell ref="A26:C26"/>
    <mergeCell ref="A12:A16"/>
    <mergeCell ref="B13:E13"/>
    <mergeCell ref="F13:H13"/>
    <mergeCell ref="B15:E15"/>
    <mergeCell ref="F15:H15"/>
  </mergeCells>
  <conditionalFormatting sqref="T3:T160">
    <cfRule type="cellIs" dxfId="1" priority="2" operator="equal">
      <formula>"PASS"</formula>
    </cfRule>
    <cfRule type="cellIs" dxfId="0" priority="1" operator="equal">
      <formula>"FAIL"</formula>
    </cfRule>
  </conditionalFormatting>
  <dataValidations count="1">
    <dataValidation type="list" showInputMessage="1" showErrorMessage="1" sqref="F6" xr:uid="{F54F3D80-CB4A-4BA3-AE08-FCA16E23DE32}">
      <formula1>"LHS,CL,RHS"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4" r:id="rId4" name="btn_clear_input_data">
          <controlPr defaultSize="0" autoLine="0" r:id="rId5">
            <anchor moveWithCells="1">
              <from>
                <xdr:col>10</xdr:col>
                <xdr:colOff>0</xdr:colOff>
                <xdr:row>12</xdr:row>
                <xdr:rowOff>101600</xdr:rowOff>
              </from>
              <to>
                <xdr:col>13</xdr:col>
                <xdr:colOff>596900</xdr:colOff>
                <xdr:row>14</xdr:row>
                <xdr:rowOff>69850</xdr:rowOff>
              </to>
            </anchor>
          </controlPr>
        </control>
      </mc:Choice>
      <mc:Fallback>
        <control shapeId="10244" r:id="rId4" name="btn_clear_input_data"/>
      </mc:Fallback>
    </mc:AlternateContent>
    <mc:AlternateContent xmlns:mc="http://schemas.openxmlformats.org/markup-compatibility/2006">
      <mc:Choice Requires="x14">
        <control shapeId="10243" r:id="rId6" name="btn_finish_test_report_creation">
          <controlPr defaultSize="0" autoLine="0" r:id="rId7">
            <anchor moveWithCells="1">
              <from>
                <xdr:col>10</xdr:col>
                <xdr:colOff>0</xdr:colOff>
                <xdr:row>8</xdr:row>
                <xdr:rowOff>19050</xdr:rowOff>
              </from>
              <to>
                <xdr:col>14</xdr:col>
                <xdr:colOff>12700</xdr:colOff>
                <xdr:row>10</xdr:row>
                <xdr:rowOff>165100</xdr:rowOff>
              </to>
            </anchor>
          </controlPr>
        </control>
      </mc:Choice>
      <mc:Fallback>
        <control shapeId="10243" r:id="rId6" name="btn_finish_test_report_creation"/>
      </mc:Fallback>
    </mc:AlternateContent>
    <mc:AlternateContent xmlns:mc="http://schemas.openxmlformats.org/markup-compatibility/2006">
      <mc:Choice Requires="x14">
        <control shapeId="10242" r:id="rId8" name="btn_create_test_report">
          <controlPr defaultSize="0" autoLine="0" autoPict="0" r:id="rId9">
            <anchor moveWithCells="1">
              <from>
                <xdr:col>10</xdr:col>
                <xdr:colOff>6350</xdr:colOff>
                <xdr:row>4</xdr:row>
                <xdr:rowOff>158750</xdr:rowOff>
              </from>
              <to>
                <xdr:col>13</xdr:col>
                <xdr:colOff>596900</xdr:colOff>
                <xdr:row>6</xdr:row>
                <xdr:rowOff>273050</xdr:rowOff>
              </to>
            </anchor>
          </controlPr>
        </control>
      </mc:Choice>
      <mc:Fallback>
        <control shapeId="10242" r:id="rId8" name="btn_create_test_re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68655-A118-4D0F-A91F-EF8C9EE43DC3}">
  <sheetPr codeName="Sheet2"/>
  <dimension ref="A1:AY224"/>
  <sheetViews>
    <sheetView zoomScale="55" zoomScaleNormal="55" zoomScaleSheetLayoutView="55" zoomScalePageLayoutView="40" workbookViewId="0">
      <selection activeCell="AD8" sqref="AD8:AG8"/>
    </sheetView>
  </sheetViews>
  <sheetFormatPr defaultColWidth="8.6328125" defaultRowHeight="14" x14ac:dyDescent="0.3"/>
  <cols>
    <col min="1" max="1" width="1.6328125" style="1" customWidth="1"/>
    <col min="2" max="3" width="8.6328125" style="1" customWidth="1"/>
    <col min="4" max="4" width="10.08984375" style="1" customWidth="1"/>
    <col min="5" max="5" width="10.6328125" style="1" customWidth="1"/>
    <col min="6" max="7" width="8.6328125" style="1" customWidth="1"/>
    <col min="8" max="8" width="10.6328125" style="1" customWidth="1"/>
    <col min="9" max="9" width="10.90625" style="1" customWidth="1"/>
    <col min="10" max="11" width="8.6328125" style="1" customWidth="1"/>
    <col min="12" max="12" width="10.36328125" style="1" customWidth="1"/>
    <col min="13" max="13" width="10.6328125" style="1" customWidth="1"/>
    <col min="14" max="15" width="8.6328125" style="1" customWidth="1"/>
    <col min="16" max="16" width="10.6328125" style="1" customWidth="1"/>
    <col min="17" max="17" width="2.08984375" style="1" customWidth="1"/>
    <col min="18" max="18" width="2" style="1" customWidth="1"/>
    <col min="19" max="20" width="8.6328125" style="1"/>
    <col min="21" max="21" width="10.54296875" style="1" customWidth="1"/>
    <col min="22" max="22" width="8.6328125" style="1"/>
    <col min="23" max="23" width="10.08984375" style="1" customWidth="1"/>
    <col min="24" max="24" width="11.90625" style="1" customWidth="1"/>
    <col min="25" max="26" width="8.6328125" style="1"/>
    <col min="27" max="27" width="11.453125" style="1" customWidth="1"/>
    <col min="28" max="29" width="8.6328125" style="1"/>
    <col min="30" max="30" width="10.6328125" style="1" customWidth="1"/>
    <col min="31" max="32" width="8.6328125" style="1"/>
    <col min="33" max="33" width="11.6328125" style="1" customWidth="1"/>
    <col min="34" max="34" width="1.81640625" style="1" customWidth="1"/>
    <col min="35" max="35" width="8.6328125" style="1"/>
    <col min="36" max="36" width="10.08984375" style="1" customWidth="1"/>
    <col min="37" max="37" width="17" style="1" customWidth="1"/>
    <col min="38" max="38" width="19.6328125" style="1" customWidth="1"/>
    <col min="39" max="39" width="20.90625" style="1" customWidth="1"/>
    <col min="40" max="40" width="18.36328125" style="1" customWidth="1"/>
    <col min="41" max="41" width="17" style="1" customWidth="1"/>
    <col min="42" max="16384" width="8.6328125" style="1"/>
  </cols>
  <sheetData>
    <row r="1" spans="1:51" ht="10" customHeight="1" x14ac:dyDescent="0.3">
      <c r="A1" s="8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86"/>
      <c r="R1" s="8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86"/>
      <c r="AJ1" s="8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86"/>
    </row>
    <row r="2" spans="1:51" ht="20.149999999999999" customHeight="1" x14ac:dyDescent="0.3">
      <c r="A2" s="87"/>
      <c r="B2" s="406" t="str">
        <f>"Project Name "&amp;Input!C9&amp;" Project Name"</f>
        <v>Project Name num Project Name</v>
      </c>
      <c r="C2" s="407"/>
      <c r="D2" s="407"/>
      <c r="E2" s="407"/>
      <c r="F2" s="407"/>
      <c r="G2" s="407"/>
      <c r="H2" s="407"/>
      <c r="I2" s="407"/>
      <c r="J2" s="407"/>
      <c r="K2" s="407"/>
      <c r="L2" s="407"/>
      <c r="M2" s="407"/>
      <c r="N2" s="407"/>
      <c r="O2" s="408" t="s">
        <v>0</v>
      </c>
      <c r="P2" s="409"/>
      <c r="Q2" s="88"/>
      <c r="R2" s="87"/>
      <c r="S2" s="406" t="str">
        <f>B2</f>
        <v>Project Name num Project Name</v>
      </c>
      <c r="T2" s="407"/>
      <c r="U2" s="407"/>
      <c r="V2" s="407"/>
      <c r="W2" s="407"/>
      <c r="X2" s="407"/>
      <c r="Y2" s="407"/>
      <c r="Z2" s="407"/>
      <c r="AA2" s="407"/>
      <c r="AB2" s="407"/>
      <c r="AC2" s="407"/>
      <c r="AD2" s="407"/>
      <c r="AE2" s="407"/>
      <c r="AF2" s="408" t="str">
        <f>O2</f>
        <v>LAB</v>
      </c>
      <c r="AG2" s="409"/>
      <c r="AH2" s="89"/>
      <c r="AJ2" s="396" t="s">
        <v>39</v>
      </c>
      <c r="AK2" s="397"/>
      <c r="AY2" s="178"/>
    </row>
    <row r="3" spans="1:51" ht="20.149999999999999" customHeight="1" x14ac:dyDescent="0.3">
      <c r="A3" s="87"/>
      <c r="B3" s="398" t="s">
        <v>95</v>
      </c>
      <c r="C3" s="399"/>
      <c r="D3" s="399"/>
      <c r="E3" s="399"/>
      <c r="F3" s="399"/>
      <c r="G3" s="399"/>
      <c r="H3" s="399"/>
      <c r="I3" s="399"/>
      <c r="J3" s="399"/>
      <c r="K3" s="399"/>
      <c r="L3" s="399"/>
      <c r="M3" s="399"/>
      <c r="N3" s="400"/>
      <c r="O3" s="410"/>
      <c r="P3" s="411"/>
      <c r="Q3" s="89"/>
      <c r="R3" s="87"/>
      <c r="S3" s="398" t="str">
        <f>B3</f>
        <v>Project Name</v>
      </c>
      <c r="T3" s="399"/>
      <c r="U3" s="399"/>
      <c r="V3" s="399"/>
      <c r="W3" s="399"/>
      <c r="X3" s="399"/>
      <c r="Y3" s="399"/>
      <c r="Z3" s="399"/>
      <c r="AA3" s="399"/>
      <c r="AB3" s="399"/>
      <c r="AC3" s="399"/>
      <c r="AD3" s="399"/>
      <c r="AE3" s="399"/>
      <c r="AF3" s="410"/>
      <c r="AG3" s="411"/>
      <c r="AH3" s="89"/>
      <c r="AJ3" s="179" t="s">
        <v>28</v>
      </c>
      <c r="AK3" s="174" t="s">
        <v>38</v>
      </c>
      <c r="AY3" s="178"/>
    </row>
    <row r="4" spans="1:51" ht="10" customHeight="1" x14ac:dyDescent="0.3">
      <c r="A4" s="87"/>
      <c r="B4" s="3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410"/>
      <c r="P4" s="411"/>
      <c r="Q4" s="89"/>
      <c r="R4" s="87"/>
      <c r="S4" s="46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410"/>
      <c r="AG4" s="411"/>
      <c r="AH4" s="89"/>
      <c r="AJ4" s="180">
        <f>IF(Input!P3&lt;&gt;"",Input!P3,"")</f>
        <v>0</v>
      </c>
      <c r="AK4" s="173">
        <f>IF(Input!Q3&lt;&gt;"",Input!Q3,"")</f>
        <v>130</v>
      </c>
      <c r="AY4" s="178"/>
    </row>
    <row r="5" spans="1:51" ht="17.5" customHeight="1" x14ac:dyDescent="0.3">
      <c r="A5" s="87"/>
      <c r="B5" s="401" t="str">
        <f>"Contract No: Enter Contract No "&amp;Input!C8</f>
        <v>Contract No: Enter Contract No num</v>
      </c>
      <c r="C5" s="402"/>
      <c r="D5" s="402"/>
      <c r="E5" s="402"/>
      <c r="F5" s="402"/>
      <c r="G5" s="402"/>
      <c r="H5" s="402"/>
      <c r="I5" s="402"/>
      <c r="J5" s="402"/>
      <c r="K5" s="402"/>
      <c r="L5" s="402"/>
      <c r="M5" s="402"/>
      <c r="N5" s="402"/>
      <c r="O5" s="412"/>
      <c r="P5" s="413"/>
      <c r="Q5" s="89"/>
      <c r="R5" s="87"/>
      <c r="S5" s="403" t="str">
        <f>B5</f>
        <v>Contract No: Enter Contract No num</v>
      </c>
      <c r="T5" s="404"/>
      <c r="U5" s="404"/>
      <c r="V5" s="404"/>
      <c r="W5" s="404"/>
      <c r="X5" s="404"/>
      <c r="Y5" s="404"/>
      <c r="Z5" s="404"/>
      <c r="AA5" s="404"/>
      <c r="AB5" s="404"/>
      <c r="AC5" s="404"/>
      <c r="AD5" s="404"/>
      <c r="AE5" s="404"/>
      <c r="AF5" s="412"/>
      <c r="AG5" s="413"/>
      <c r="AH5" s="89"/>
      <c r="AJ5" s="180">
        <f>IF(Input!P4&lt;&gt;"",Input!P4,"")</f>
        <v>1</v>
      </c>
      <c r="AK5" s="173">
        <f>IF(Input!Q4&lt;&gt;"",Input!Q4,"")</f>
        <v>140</v>
      </c>
      <c r="AY5" s="178"/>
    </row>
    <row r="6" spans="1:51" ht="17.5" customHeight="1" x14ac:dyDescent="0.3">
      <c r="A6" s="87"/>
      <c r="B6" s="403" t="s">
        <v>1</v>
      </c>
      <c r="C6" s="404"/>
      <c r="D6" s="404"/>
      <c r="E6" s="404"/>
      <c r="F6" s="405"/>
      <c r="G6" s="403" t="s">
        <v>2</v>
      </c>
      <c r="H6" s="404"/>
      <c r="I6" s="404"/>
      <c r="J6" s="404"/>
      <c r="K6" s="404"/>
      <c r="L6" s="405"/>
      <c r="M6" s="403" t="s">
        <v>3</v>
      </c>
      <c r="N6" s="404"/>
      <c r="O6" s="404"/>
      <c r="P6" s="405"/>
      <c r="Q6" s="89"/>
      <c r="R6" s="87"/>
      <c r="S6" s="403" t="s">
        <v>1</v>
      </c>
      <c r="T6" s="404"/>
      <c r="U6" s="404"/>
      <c r="V6" s="404"/>
      <c r="W6" s="405"/>
      <c r="X6" s="403" t="s">
        <v>2</v>
      </c>
      <c r="Y6" s="404"/>
      <c r="Z6" s="404"/>
      <c r="AA6" s="404"/>
      <c r="AB6" s="404"/>
      <c r="AC6" s="405"/>
      <c r="AD6" s="403" t="s">
        <v>3</v>
      </c>
      <c r="AE6" s="404"/>
      <c r="AF6" s="404"/>
      <c r="AG6" s="405"/>
      <c r="AH6" s="89"/>
      <c r="AJ6" s="180">
        <f>IF(Input!P5&lt;&gt;"",Input!P5,"")</f>
        <v>1</v>
      </c>
      <c r="AK6" s="173">
        <f>IF(Input!Q5&lt;&gt;"",Input!Q5,"")</f>
        <v>150</v>
      </c>
      <c r="AY6" s="178"/>
    </row>
    <row r="7" spans="1:51" ht="33" customHeight="1" x14ac:dyDescent="0.3">
      <c r="A7" s="87"/>
      <c r="B7" s="392" t="s">
        <v>94</v>
      </c>
      <c r="C7" s="392"/>
      <c r="D7" s="392"/>
      <c r="E7" s="392"/>
      <c r="F7" s="392"/>
      <c r="G7" s="392" t="s">
        <v>94</v>
      </c>
      <c r="H7" s="392"/>
      <c r="I7" s="392"/>
      <c r="J7" s="392"/>
      <c r="K7" s="392"/>
      <c r="L7" s="392"/>
      <c r="M7" s="393" t="s">
        <v>94</v>
      </c>
      <c r="N7" s="394"/>
      <c r="O7" s="394"/>
      <c r="P7" s="395"/>
      <c r="Q7" s="89"/>
      <c r="R7" s="87"/>
      <c r="S7" s="392" t="str">
        <f>B7</f>
        <v>Enetr Company Name</v>
      </c>
      <c r="T7" s="392"/>
      <c r="U7" s="392"/>
      <c r="V7" s="392"/>
      <c r="W7" s="392"/>
      <c r="X7" s="392" t="str">
        <f>G7</f>
        <v>Enetr Company Name</v>
      </c>
      <c r="Y7" s="392"/>
      <c r="Z7" s="392"/>
      <c r="AA7" s="392"/>
      <c r="AB7" s="392"/>
      <c r="AC7" s="392"/>
      <c r="AD7" s="393" t="str">
        <f>M7</f>
        <v>Enetr Company Name</v>
      </c>
      <c r="AE7" s="394"/>
      <c r="AF7" s="394"/>
      <c r="AG7" s="395"/>
      <c r="AH7" s="89"/>
      <c r="AJ7" s="180">
        <f>IF(Input!P6&lt;&gt;"",Input!P6,"")</f>
        <v>1</v>
      </c>
      <c r="AK7" s="173">
        <f>IF(Input!Q6&lt;&gt;"",Input!Q6,"")</f>
        <v>160</v>
      </c>
      <c r="AY7" s="178"/>
    </row>
    <row r="8" spans="1:51" ht="40" customHeight="1" x14ac:dyDescent="0.3">
      <c r="A8" s="87"/>
      <c r="B8" s="387" t="s">
        <v>96</v>
      </c>
      <c r="C8" s="387"/>
      <c r="D8" s="387"/>
      <c r="E8" s="387"/>
      <c r="F8" s="388"/>
      <c r="G8" s="387" t="s">
        <v>96</v>
      </c>
      <c r="H8" s="387"/>
      <c r="I8" s="387"/>
      <c r="J8" s="387"/>
      <c r="K8" s="387"/>
      <c r="L8" s="387"/>
      <c r="M8" s="388" t="s">
        <v>96</v>
      </c>
      <c r="N8" s="389"/>
      <c r="O8" s="389"/>
      <c r="P8" s="390"/>
      <c r="Q8" s="89"/>
      <c r="R8" s="87"/>
      <c r="S8" s="391" t="s">
        <v>102</v>
      </c>
      <c r="T8" s="391"/>
      <c r="U8" s="391"/>
      <c r="V8" s="391"/>
      <c r="W8" s="391"/>
      <c r="X8" s="391" t="s">
        <v>102</v>
      </c>
      <c r="Y8" s="391"/>
      <c r="Z8" s="391"/>
      <c r="AA8" s="391"/>
      <c r="AB8" s="391"/>
      <c r="AC8" s="391"/>
      <c r="AD8" s="391" t="s">
        <v>102</v>
      </c>
      <c r="AE8" s="391"/>
      <c r="AF8" s="391"/>
      <c r="AG8" s="391"/>
      <c r="AH8" s="89"/>
      <c r="AJ8" s="180">
        <f>IF(Input!P7&lt;&gt;"",Input!P7,"")</f>
        <v>1</v>
      </c>
      <c r="AK8" s="173">
        <f>IF(Input!Q7&lt;&gt;"",Input!Q7,"")</f>
        <v>170</v>
      </c>
      <c r="AY8" s="178"/>
    </row>
    <row r="9" spans="1:51" ht="20.149999999999999" customHeight="1" x14ac:dyDescent="0.3">
      <c r="A9" s="87"/>
      <c r="B9" s="383" t="s">
        <v>4</v>
      </c>
      <c r="C9" s="384"/>
      <c r="D9" s="384"/>
      <c r="E9" s="384"/>
      <c r="F9" s="384"/>
      <c r="G9" s="384"/>
      <c r="H9" s="384"/>
      <c r="I9" s="384"/>
      <c r="J9" s="384"/>
      <c r="K9" s="384"/>
      <c r="L9" s="384"/>
      <c r="M9" s="384"/>
      <c r="N9" s="384"/>
      <c r="O9" s="384"/>
      <c r="P9" s="385"/>
      <c r="Q9" s="89"/>
      <c r="R9" s="87"/>
      <c r="S9" s="383" t="s">
        <v>4</v>
      </c>
      <c r="T9" s="384"/>
      <c r="U9" s="384"/>
      <c r="V9" s="384"/>
      <c r="W9" s="384"/>
      <c r="X9" s="384"/>
      <c r="Y9" s="384"/>
      <c r="Z9" s="384"/>
      <c r="AA9" s="384"/>
      <c r="AB9" s="384"/>
      <c r="AC9" s="384"/>
      <c r="AD9" s="384"/>
      <c r="AE9" s="384"/>
      <c r="AF9" s="384"/>
      <c r="AG9" s="385"/>
      <c r="AH9" s="89"/>
      <c r="AJ9" s="180">
        <f>IF(Input!P8&lt;&gt;"",Input!P8,"")</f>
        <v>1</v>
      </c>
      <c r="AK9" s="173">
        <f>IF(Input!Q8&lt;&gt;"",Input!Q8,"")</f>
        <v>180</v>
      </c>
      <c r="AY9" s="178"/>
    </row>
    <row r="10" spans="1:51" ht="23.5" customHeight="1" x14ac:dyDescent="0.3">
      <c r="A10" s="87"/>
      <c r="B10" s="382" t="s">
        <v>5</v>
      </c>
      <c r="C10" s="382"/>
      <c r="D10" s="379" t="str">
        <f>Input!C1</f>
        <v>ID</v>
      </c>
      <c r="E10" s="380"/>
      <c r="F10" s="380"/>
      <c r="G10" s="380"/>
      <c r="H10" s="354" t="s">
        <v>6</v>
      </c>
      <c r="I10" s="356"/>
      <c r="J10" s="386" t="str">
        <f>Input!C4</f>
        <v>Road name</v>
      </c>
      <c r="K10" s="386"/>
      <c r="L10" s="386"/>
      <c r="M10" s="386"/>
      <c r="N10" s="386"/>
      <c r="O10" s="386"/>
      <c r="P10" s="386"/>
      <c r="Q10" s="89"/>
      <c r="R10" s="87"/>
      <c r="S10" s="382" t="s">
        <v>5</v>
      </c>
      <c r="T10" s="382"/>
      <c r="U10" s="379" t="str">
        <f>D10</f>
        <v>ID</v>
      </c>
      <c r="V10" s="380"/>
      <c r="W10" s="380"/>
      <c r="X10" s="381"/>
      <c r="Y10" s="355" t="s">
        <v>6</v>
      </c>
      <c r="Z10" s="356"/>
      <c r="AA10" s="386" t="str">
        <f>J10</f>
        <v>Road name</v>
      </c>
      <c r="AB10" s="386"/>
      <c r="AC10" s="386"/>
      <c r="AD10" s="386"/>
      <c r="AE10" s="386"/>
      <c r="AF10" s="386"/>
      <c r="AG10" s="386"/>
      <c r="AH10" s="89"/>
      <c r="AJ10" s="180">
        <f>IF(Input!P9&lt;&gt;"",Input!P9,"")</f>
        <v>1</v>
      </c>
      <c r="AK10" s="173">
        <f>IF(Input!Q9&lt;&gt;"",Input!Q9,"")</f>
        <v>190</v>
      </c>
      <c r="AM10" s="240"/>
      <c r="AN10" s="240"/>
      <c r="AO10" s="240"/>
      <c r="AY10" s="178"/>
    </row>
    <row r="11" spans="1:51" ht="24.5" customHeight="1" x14ac:dyDescent="0.3">
      <c r="A11" s="87"/>
      <c r="B11" s="382" t="s">
        <v>7</v>
      </c>
      <c r="C11" s="382"/>
      <c r="D11" s="379" t="str">
        <f>Input!C2</f>
        <v>Report Num</v>
      </c>
      <c r="E11" s="380"/>
      <c r="F11" s="380"/>
      <c r="G11" s="380"/>
      <c r="H11" s="354" t="s">
        <v>8</v>
      </c>
      <c r="I11" s="356"/>
      <c r="J11" s="14" t="str">
        <f>Input!C6&amp;" "&amp;Input!D6&amp;" "&amp;Input!E6</f>
        <v>num + num</v>
      </c>
      <c r="K11" s="189" t="str">
        <f>Input!F6</f>
        <v>LHS</v>
      </c>
      <c r="L11" s="190"/>
      <c r="M11" s="355" t="s">
        <v>9</v>
      </c>
      <c r="N11" s="355"/>
      <c r="O11" s="356"/>
      <c r="P11" s="25" t="str">
        <f>Input!C7</f>
        <v>num</v>
      </c>
      <c r="Q11" s="89"/>
      <c r="R11" s="87"/>
      <c r="S11" s="354" t="s">
        <v>7</v>
      </c>
      <c r="T11" s="356"/>
      <c r="U11" s="379" t="str">
        <f>D11</f>
        <v>Report Num</v>
      </c>
      <c r="V11" s="380"/>
      <c r="W11" s="380"/>
      <c r="X11" s="381"/>
      <c r="Y11" s="354" t="s">
        <v>8</v>
      </c>
      <c r="Z11" s="356"/>
      <c r="AA11" s="14" t="str">
        <f>J11</f>
        <v>num + num</v>
      </c>
      <c r="AB11" s="380" t="str">
        <f>K11</f>
        <v>LHS</v>
      </c>
      <c r="AC11" s="381"/>
      <c r="AD11" s="354" t="s">
        <v>9</v>
      </c>
      <c r="AE11" s="355"/>
      <c r="AF11" s="356"/>
      <c r="AG11" s="25" t="str">
        <f>P11</f>
        <v>num</v>
      </c>
      <c r="AH11" s="89"/>
      <c r="AJ11" s="180">
        <f>IF(Input!P10&lt;&gt;"",Input!P10,"")</f>
        <v>1</v>
      </c>
      <c r="AK11" s="173">
        <f>IF(Input!Q10&lt;&gt;"",Input!Q10,"")</f>
        <v>200</v>
      </c>
      <c r="AM11" s="181"/>
      <c r="AN11" s="241"/>
      <c r="AO11" s="241"/>
      <c r="AY11" s="178"/>
    </row>
    <row r="12" spans="1:51" ht="22.4" customHeight="1" x14ac:dyDescent="0.3">
      <c r="A12" s="87"/>
      <c r="B12" s="354" t="s">
        <v>10</v>
      </c>
      <c r="C12" s="355"/>
      <c r="D12" s="379" t="str">
        <f>Input!C3</f>
        <v>date</v>
      </c>
      <c r="E12" s="380"/>
      <c r="F12" s="380"/>
      <c r="G12" s="380"/>
      <c r="H12" s="354" t="s">
        <v>36</v>
      </c>
      <c r="I12" s="356"/>
      <c r="J12" s="379">
        <f>AK4</f>
        <v>130</v>
      </c>
      <c r="K12" s="380"/>
      <c r="L12" s="381"/>
      <c r="M12" s="354" t="s">
        <v>11</v>
      </c>
      <c r="N12" s="355"/>
      <c r="O12" s="356"/>
      <c r="P12" s="39">
        <f>MAX(AK4:AK160)-AK4</f>
        <v>830</v>
      </c>
      <c r="Q12" s="89"/>
      <c r="R12" s="87"/>
      <c r="S12" s="354" t="s">
        <v>10</v>
      </c>
      <c r="T12" s="356"/>
      <c r="U12" s="379" t="str">
        <f>D12</f>
        <v>date</v>
      </c>
      <c r="V12" s="380"/>
      <c r="W12" s="380"/>
      <c r="X12" s="381"/>
      <c r="Y12" s="354" t="s">
        <v>36</v>
      </c>
      <c r="Z12" s="356"/>
      <c r="AA12" s="379">
        <f>J12</f>
        <v>130</v>
      </c>
      <c r="AB12" s="380"/>
      <c r="AC12" s="381"/>
      <c r="AD12" s="354" t="s">
        <v>11</v>
      </c>
      <c r="AE12" s="355"/>
      <c r="AF12" s="356"/>
      <c r="AG12" s="25">
        <f>P12</f>
        <v>830</v>
      </c>
      <c r="AH12" s="89"/>
      <c r="AJ12" s="180">
        <f>IF(Input!P11&lt;&gt;"",Input!P11,"")</f>
        <v>1</v>
      </c>
      <c r="AK12" s="173">
        <f>IF(Input!Q11&lt;&gt;"",Input!Q11,"")</f>
        <v>210</v>
      </c>
      <c r="AM12" s="181"/>
      <c r="AN12" s="241"/>
      <c r="AO12" s="241"/>
      <c r="AY12" s="178"/>
    </row>
    <row r="13" spans="1:51" ht="33" customHeight="1" x14ac:dyDescent="0.3">
      <c r="A13" s="87"/>
      <c r="B13" s="373"/>
      <c r="C13" s="374"/>
      <c r="D13" s="374"/>
      <c r="E13" s="374"/>
      <c r="F13" s="374"/>
      <c r="G13" s="374"/>
      <c r="H13" s="374"/>
      <c r="I13" s="374"/>
      <c r="J13" s="374"/>
      <c r="K13" s="374"/>
      <c r="L13" s="374"/>
      <c r="M13" s="374"/>
      <c r="N13" s="374"/>
      <c r="O13" s="374"/>
      <c r="P13" s="375"/>
      <c r="Q13" s="89"/>
      <c r="R13" s="87"/>
      <c r="S13" s="376"/>
      <c r="T13" s="377"/>
      <c r="U13" s="377"/>
      <c r="V13" s="100"/>
      <c r="W13" s="378"/>
      <c r="X13" s="377"/>
      <c r="Y13" s="377"/>
      <c r="Z13" s="100"/>
      <c r="AA13" s="378"/>
      <c r="AB13" s="377"/>
      <c r="AC13" s="377"/>
      <c r="AD13" s="99"/>
      <c r="AE13" s="378"/>
      <c r="AF13" s="377"/>
      <c r="AG13" s="372"/>
      <c r="AH13" s="89"/>
      <c r="AJ13" s="180">
        <f>IF(Input!P12&lt;&gt;"",Input!P12,"")</f>
        <v>1</v>
      </c>
      <c r="AK13" s="173">
        <f>IF(Input!Q12&lt;&gt;"",Input!Q12,"")</f>
        <v>220</v>
      </c>
      <c r="AY13" s="178"/>
    </row>
    <row r="14" spans="1:51" ht="33" customHeight="1" x14ac:dyDescent="0.3">
      <c r="A14" s="87"/>
      <c r="B14" s="27" t="s">
        <v>58</v>
      </c>
      <c r="C14" s="28" t="s">
        <v>59</v>
      </c>
      <c r="D14" s="27" t="s">
        <v>57</v>
      </c>
      <c r="E14" s="55"/>
      <c r="F14" s="28" t="s">
        <v>58</v>
      </c>
      <c r="G14" s="27" t="s">
        <v>59</v>
      </c>
      <c r="H14" s="27" t="s">
        <v>57</v>
      </c>
      <c r="I14" s="55"/>
      <c r="J14" s="28" t="s">
        <v>58</v>
      </c>
      <c r="K14" s="27" t="s">
        <v>59</v>
      </c>
      <c r="L14" s="26" t="s">
        <v>57</v>
      </c>
      <c r="M14" s="4"/>
      <c r="N14" s="54" t="s">
        <v>58</v>
      </c>
      <c r="O14" s="28" t="s">
        <v>59</v>
      </c>
      <c r="P14" s="53" t="s">
        <v>57</v>
      </c>
      <c r="Q14" s="89"/>
      <c r="R14" s="87"/>
      <c r="S14" s="376"/>
      <c r="T14" s="377"/>
      <c r="U14" s="377"/>
      <c r="V14" s="100"/>
      <c r="W14" s="378"/>
      <c r="X14" s="377"/>
      <c r="Y14" s="377"/>
      <c r="Z14" s="100"/>
      <c r="AA14" s="378"/>
      <c r="AB14" s="377"/>
      <c r="AC14" s="377"/>
      <c r="AD14" s="99"/>
      <c r="AE14" s="378"/>
      <c r="AF14" s="377"/>
      <c r="AG14" s="372"/>
      <c r="AH14" s="89"/>
      <c r="AJ14" s="180">
        <f>IF(Input!P13&lt;&gt;"",Input!P13,"")</f>
        <v>1</v>
      </c>
      <c r="AK14" s="173">
        <f>IF(Input!Q13&lt;&gt;"",Input!Q13,"")</f>
        <v>230</v>
      </c>
      <c r="AY14" s="178"/>
    </row>
    <row r="15" spans="1:51" ht="25" customHeight="1" x14ac:dyDescent="0.3">
      <c r="A15" s="87"/>
      <c r="B15" s="56" t="s">
        <v>28</v>
      </c>
      <c r="C15" s="56" t="s">
        <v>28</v>
      </c>
      <c r="D15" s="56" t="s">
        <v>30</v>
      </c>
      <c r="E15" s="57"/>
      <c r="F15" s="56" t="s">
        <v>28</v>
      </c>
      <c r="G15" s="56" t="s">
        <v>28</v>
      </c>
      <c r="H15" s="56" t="s">
        <v>30</v>
      </c>
      <c r="I15" s="57"/>
      <c r="J15" s="56" t="s">
        <v>28</v>
      </c>
      <c r="K15" s="56" t="s">
        <v>28</v>
      </c>
      <c r="L15" s="58" t="s">
        <v>30</v>
      </c>
      <c r="M15" s="59"/>
      <c r="N15" s="60" t="s">
        <v>28</v>
      </c>
      <c r="O15" s="56" t="s">
        <v>28</v>
      </c>
      <c r="P15" s="61" t="s">
        <v>30</v>
      </c>
      <c r="Q15" s="89"/>
      <c r="R15" s="87"/>
      <c r="S15" s="47"/>
      <c r="T15" s="101"/>
      <c r="U15" s="101"/>
      <c r="V15" s="100"/>
      <c r="W15" s="101"/>
      <c r="X15" s="101"/>
      <c r="Y15" s="102"/>
      <c r="Z15" s="100"/>
      <c r="AA15" s="101"/>
      <c r="AB15" s="101"/>
      <c r="AC15" s="102"/>
      <c r="AD15" s="102"/>
      <c r="AE15" s="101"/>
      <c r="AF15" s="101"/>
      <c r="AG15" s="48"/>
      <c r="AH15" s="89"/>
      <c r="AJ15" s="180">
        <f>IF(Input!P14&lt;&gt;"",Input!P14,"")</f>
        <v>1</v>
      </c>
      <c r="AK15" s="173">
        <f>IF(Input!Q14&lt;&gt;"",Input!Q14,"")</f>
        <v>240</v>
      </c>
      <c r="AY15" s="178"/>
    </row>
    <row r="16" spans="1:51" ht="16" customHeight="1" x14ac:dyDescent="0.3">
      <c r="A16" s="87"/>
      <c r="B16" s="40">
        <f t="shared" ref="B16:B54" si="0">IF(AJ5&lt;&gt;"", AJ5, "")</f>
        <v>1</v>
      </c>
      <c r="C16" s="32">
        <f>IF(B16&lt;&gt;"", B16, "")</f>
        <v>1</v>
      </c>
      <c r="D16" s="32">
        <f t="shared" ref="D16:D54" si="1">IF(AK5&lt;&gt;"", AK5,"")</f>
        <v>140</v>
      </c>
      <c r="E16" s="33"/>
      <c r="F16" s="32">
        <f t="shared" ref="F16:F54" si="2">IF(AJ44&lt;&gt;"",AJ44, "")</f>
        <v>1</v>
      </c>
      <c r="G16" s="32">
        <f>IF(F16&lt;&gt;"",C54+F16,"")</f>
        <v>40</v>
      </c>
      <c r="H16" s="34">
        <f t="shared" ref="H16:H54" si="3">IF(AK44&lt;&gt;"", AK44,"")</f>
        <v>860</v>
      </c>
      <c r="I16" s="33"/>
      <c r="J16" s="32" t="str">
        <f t="shared" ref="J16:J54" si="4">IF(AJ83&lt;&gt;"", AJ83, "")</f>
        <v/>
      </c>
      <c r="K16" s="32" t="str">
        <f>IF(J16&lt;&gt;"",G54+J16,"")</f>
        <v/>
      </c>
      <c r="L16" s="34" t="str">
        <f t="shared" ref="L16:L54" si="5">IF(AK83&lt;&gt;"", AK83,"")</f>
        <v/>
      </c>
      <c r="M16" s="34"/>
      <c r="N16" s="32" t="str">
        <f t="shared" ref="N16:N54" si="6">IF(AJ122&lt;&gt;"", AJ122, "")</f>
        <v/>
      </c>
      <c r="O16" s="32" t="str">
        <f>IF(N16&lt;&gt;"",K54+N16,"")</f>
        <v/>
      </c>
      <c r="P16" s="41" t="str">
        <f t="shared" ref="P16:P54" si="7">IF(AK122&lt;&gt;"", AK122,"")</f>
        <v/>
      </c>
      <c r="Q16" s="89"/>
      <c r="R16" s="87"/>
      <c r="S16" s="47"/>
      <c r="T16" s="101"/>
      <c r="U16" s="101"/>
      <c r="V16" s="100"/>
      <c r="W16" s="101"/>
      <c r="X16" s="101"/>
      <c r="Y16" s="102"/>
      <c r="Z16" s="100"/>
      <c r="AA16" s="101"/>
      <c r="AB16" s="101"/>
      <c r="AC16" s="102"/>
      <c r="AD16" s="102"/>
      <c r="AE16" s="101"/>
      <c r="AF16" s="101"/>
      <c r="AG16" s="103"/>
      <c r="AH16" s="89"/>
      <c r="AJ16" s="180">
        <f>IF(Input!P15&lt;&gt;"",Input!P15,"")</f>
        <v>1</v>
      </c>
      <c r="AK16" s="173">
        <f>IF(Input!Q15&lt;&gt;"",Input!Q15,"")</f>
        <v>250</v>
      </c>
      <c r="AL16" s="106"/>
      <c r="AM16" s="106"/>
      <c r="AN16" s="106"/>
      <c r="AO16" s="106"/>
      <c r="AP16" s="106"/>
      <c r="AQ16" s="104"/>
      <c r="AY16" s="178"/>
    </row>
    <row r="17" spans="1:51" ht="16" customHeight="1" x14ac:dyDescent="0.3">
      <c r="A17" s="87"/>
      <c r="B17" s="42">
        <f t="shared" si="0"/>
        <v>1</v>
      </c>
      <c r="C17" s="29">
        <f>IF(B17&lt;&gt;"",C16+B17,"")</f>
        <v>2</v>
      </c>
      <c r="D17" s="29">
        <f t="shared" si="1"/>
        <v>150</v>
      </c>
      <c r="E17" s="30"/>
      <c r="F17" s="29">
        <f t="shared" si="2"/>
        <v>1</v>
      </c>
      <c r="G17" s="29">
        <f>IF(F17&lt;&gt;"",G16+F17,"")</f>
        <v>41</v>
      </c>
      <c r="H17" s="31">
        <f t="shared" si="3"/>
        <v>900</v>
      </c>
      <c r="I17" s="30"/>
      <c r="J17" s="29" t="str">
        <f t="shared" si="4"/>
        <v/>
      </c>
      <c r="K17" s="29" t="str">
        <f>IF(J17&lt;&gt;"",K16+J17,"")</f>
        <v/>
      </c>
      <c r="L17" s="31" t="str">
        <f t="shared" si="5"/>
        <v/>
      </c>
      <c r="M17" s="31"/>
      <c r="N17" s="29" t="str">
        <f t="shared" si="6"/>
        <v/>
      </c>
      <c r="O17" s="29" t="str">
        <f>IF(N17&lt;&gt;"",O16+N17,"")</f>
        <v/>
      </c>
      <c r="P17" s="43" t="str">
        <f t="shared" si="7"/>
        <v/>
      </c>
      <c r="Q17" s="89"/>
      <c r="R17" s="87"/>
      <c r="S17" s="47"/>
      <c r="T17" s="101"/>
      <c r="U17" s="101"/>
      <c r="V17" s="100"/>
      <c r="W17" s="101"/>
      <c r="X17" s="101"/>
      <c r="Y17" s="102"/>
      <c r="Z17" s="100"/>
      <c r="AA17" s="101"/>
      <c r="AB17" s="101"/>
      <c r="AC17" s="102"/>
      <c r="AD17" s="102"/>
      <c r="AE17" s="101"/>
      <c r="AF17" s="101"/>
      <c r="AG17" s="48"/>
      <c r="AH17" s="89"/>
      <c r="AJ17" s="180">
        <f>IF(Input!P16&lt;&gt;"",Input!P16,"")</f>
        <v>1</v>
      </c>
      <c r="AK17" s="173">
        <f>IF(Input!Q16&lt;&gt;"",Input!Q16,"")</f>
        <v>260</v>
      </c>
      <c r="AN17" s="106"/>
      <c r="AO17" s="106"/>
      <c r="AP17" s="106"/>
      <c r="AQ17" s="106"/>
      <c r="AY17" s="178"/>
    </row>
    <row r="18" spans="1:51" ht="16" customHeight="1" x14ac:dyDescent="0.3">
      <c r="A18" s="87"/>
      <c r="B18" s="42">
        <f t="shared" si="0"/>
        <v>1</v>
      </c>
      <c r="C18" s="29">
        <f t="shared" ref="C18:C54" si="8">IF(B18&lt;&gt;"",C17+B18,"")</f>
        <v>3</v>
      </c>
      <c r="D18" s="29">
        <f t="shared" si="1"/>
        <v>160</v>
      </c>
      <c r="E18" s="30"/>
      <c r="F18" s="29">
        <f t="shared" si="2"/>
        <v>1</v>
      </c>
      <c r="G18" s="29">
        <f t="shared" ref="G18:G54" si="9">IF(F18&lt;&gt;"",G17+F18,"")</f>
        <v>42</v>
      </c>
      <c r="H18" s="31">
        <f t="shared" si="3"/>
        <v>940</v>
      </c>
      <c r="I18" s="30"/>
      <c r="J18" s="29" t="str">
        <f t="shared" si="4"/>
        <v/>
      </c>
      <c r="K18" s="29" t="str">
        <f t="shared" ref="K18:K54" si="10">IF(J18&lt;&gt;"",K17+J18,"")</f>
        <v/>
      </c>
      <c r="L18" s="31" t="str">
        <f t="shared" si="5"/>
        <v/>
      </c>
      <c r="M18" s="31"/>
      <c r="N18" s="29" t="str">
        <f t="shared" si="6"/>
        <v/>
      </c>
      <c r="O18" s="29" t="str">
        <f t="shared" ref="O18:O54" si="11">IF(N18&lt;&gt;"",O17+N18,"")</f>
        <v/>
      </c>
      <c r="P18" s="43" t="str">
        <f t="shared" si="7"/>
        <v/>
      </c>
      <c r="Q18" s="89"/>
      <c r="R18" s="87"/>
      <c r="S18" s="47"/>
      <c r="T18" s="101"/>
      <c r="U18" s="101"/>
      <c r="V18" s="100"/>
      <c r="W18" s="101"/>
      <c r="X18" s="101"/>
      <c r="Y18" s="102"/>
      <c r="Z18" s="100"/>
      <c r="AA18" s="101"/>
      <c r="AB18" s="101"/>
      <c r="AC18" s="102"/>
      <c r="AD18" s="102"/>
      <c r="AE18" s="101"/>
      <c r="AF18" s="101"/>
      <c r="AG18" s="48"/>
      <c r="AH18" s="89"/>
      <c r="AJ18" s="180">
        <f>IF(Input!P17&lt;&gt;"",Input!P17,"")</f>
        <v>1</v>
      </c>
      <c r="AK18" s="173">
        <f>IF(Input!Q17&lt;&gt;"",Input!Q17,"")</f>
        <v>270</v>
      </c>
      <c r="AL18" s="106"/>
      <c r="AM18" s="106"/>
      <c r="AN18" s="106"/>
      <c r="AO18" s="106"/>
      <c r="AP18" s="106"/>
      <c r="AQ18" s="104"/>
      <c r="AY18" s="178"/>
    </row>
    <row r="19" spans="1:51" ht="16" customHeight="1" x14ac:dyDescent="0.3">
      <c r="A19" s="87"/>
      <c r="B19" s="42">
        <f t="shared" si="0"/>
        <v>1</v>
      </c>
      <c r="C19" s="29">
        <f t="shared" si="8"/>
        <v>4</v>
      </c>
      <c r="D19" s="29">
        <f t="shared" si="1"/>
        <v>170</v>
      </c>
      <c r="E19" s="30"/>
      <c r="F19" s="29">
        <f t="shared" si="2"/>
        <v>1</v>
      </c>
      <c r="G19" s="29">
        <f t="shared" si="9"/>
        <v>43</v>
      </c>
      <c r="H19" s="31">
        <f t="shared" si="3"/>
        <v>960</v>
      </c>
      <c r="I19" s="30"/>
      <c r="J19" s="29" t="str">
        <f t="shared" si="4"/>
        <v/>
      </c>
      <c r="K19" s="29" t="str">
        <f t="shared" si="10"/>
        <v/>
      </c>
      <c r="L19" s="31" t="str">
        <f t="shared" si="5"/>
        <v/>
      </c>
      <c r="M19" s="31"/>
      <c r="N19" s="29" t="str">
        <f t="shared" si="6"/>
        <v/>
      </c>
      <c r="O19" s="29" t="str">
        <f t="shared" si="11"/>
        <v/>
      </c>
      <c r="P19" s="43" t="str">
        <f t="shared" si="7"/>
        <v/>
      </c>
      <c r="Q19" s="89"/>
      <c r="R19" s="87"/>
      <c r="S19" s="47"/>
      <c r="T19" s="101"/>
      <c r="U19" s="101"/>
      <c r="V19" s="100"/>
      <c r="W19" s="101"/>
      <c r="X19" s="101"/>
      <c r="Y19" s="102"/>
      <c r="Z19" s="100"/>
      <c r="AA19" s="101"/>
      <c r="AB19" s="101"/>
      <c r="AC19" s="102"/>
      <c r="AD19" s="102"/>
      <c r="AE19" s="101"/>
      <c r="AF19" s="101"/>
      <c r="AG19" s="48"/>
      <c r="AH19" s="89"/>
      <c r="AJ19" s="180">
        <f>IF(Input!P18&lt;&gt;"",Input!P18,"")</f>
        <v>1</v>
      </c>
      <c r="AK19" s="173">
        <f>IF(Input!Q18&lt;&gt;"",Input!Q18,"")</f>
        <v>280</v>
      </c>
      <c r="AL19" s="106"/>
      <c r="AM19" s="106"/>
      <c r="AN19" s="106"/>
      <c r="AO19" s="106"/>
      <c r="AP19" s="106"/>
      <c r="AQ19" s="106"/>
      <c r="AR19" s="106"/>
      <c r="AS19" s="106"/>
      <c r="AT19" s="106"/>
      <c r="AY19" s="178"/>
    </row>
    <row r="20" spans="1:51" ht="16" customHeight="1" x14ac:dyDescent="0.3">
      <c r="A20" s="87"/>
      <c r="B20" s="42">
        <f t="shared" si="0"/>
        <v>1</v>
      </c>
      <c r="C20" s="29">
        <f t="shared" si="8"/>
        <v>5</v>
      </c>
      <c r="D20" s="29">
        <f t="shared" si="1"/>
        <v>180</v>
      </c>
      <c r="E20" s="30"/>
      <c r="F20" s="29" t="str">
        <f t="shared" si="2"/>
        <v/>
      </c>
      <c r="G20" s="29" t="str">
        <f t="shared" si="9"/>
        <v/>
      </c>
      <c r="H20" s="31" t="str">
        <f t="shared" si="3"/>
        <v/>
      </c>
      <c r="I20" s="30"/>
      <c r="J20" s="29" t="str">
        <f t="shared" si="4"/>
        <v/>
      </c>
      <c r="K20" s="29" t="str">
        <f t="shared" si="10"/>
        <v/>
      </c>
      <c r="L20" s="31" t="str">
        <f t="shared" si="5"/>
        <v/>
      </c>
      <c r="M20" s="31"/>
      <c r="N20" s="29" t="str">
        <f t="shared" si="6"/>
        <v/>
      </c>
      <c r="O20" s="29" t="str">
        <f t="shared" si="11"/>
        <v/>
      </c>
      <c r="P20" s="43" t="str">
        <f t="shared" si="7"/>
        <v/>
      </c>
      <c r="Q20" s="89"/>
      <c r="R20" s="87"/>
      <c r="S20" s="47"/>
      <c r="T20" s="101"/>
      <c r="U20" s="101"/>
      <c r="V20" s="100"/>
      <c r="W20" s="101"/>
      <c r="X20" s="101"/>
      <c r="Y20" s="102"/>
      <c r="Z20" s="100"/>
      <c r="AA20" s="101"/>
      <c r="AB20" s="101"/>
      <c r="AC20" s="102"/>
      <c r="AD20" s="102"/>
      <c r="AE20" s="101"/>
      <c r="AF20" s="101"/>
      <c r="AG20" s="48"/>
      <c r="AH20" s="89"/>
      <c r="AJ20" s="180">
        <f>IF(Input!P19&lt;&gt;"",Input!P19,"")</f>
        <v>1</v>
      </c>
      <c r="AK20" s="173">
        <f>IF(Input!Q19&lt;&gt;"",Input!Q19,"")</f>
        <v>300</v>
      </c>
      <c r="AL20" s="175"/>
      <c r="AM20" s="175"/>
      <c r="AN20" s="106"/>
      <c r="AO20" s="106"/>
      <c r="AP20" s="106"/>
      <c r="AQ20" s="104"/>
      <c r="AY20" s="178"/>
    </row>
    <row r="21" spans="1:51" ht="16" customHeight="1" x14ac:dyDescent="0.3">
      <c r="A21" s="87"/>
      <c r="B21" s="42">
        <f t="shared" si="0"/>
        <v>1</v>
      </c>
      <c r="C21" s="29">
        <f t="shared" si="8"/>
        <v>6</v>
      </c>
      <c r="D21" s="29">
        <f t="shared" si="1"/>
        <v>190</v>
      </c>
      <c r="E21" s="30"/>
      <c r="F21" s="29" t="str">
        <f t="shared" si="2"/>
        <v/>
      </c>
      <c r="G21" s="29" t="str">
        <f t="shared" si="9"/>
        <v/>
      </c>
      <c r="H21" s="31" t="str">
        <f t="shared" si="3"/>
        <v/>
      </c>
      <c r="I21" s="30"/>
      <c r="J21" s="29" t="str">
        <f t="shared" si="4"/>
        <v/>
      </c>
      <c r="K21" s="29" t="str">
        <f t="shared" si="10"/>
        <v/>
      </c>
      <c r="L21" s="31" t="str">
        <f t="shared" si="5"/>
        <v/>
      </c>
      <c r="M21" s="31"/>
      <c r="N21" s="29" t="str">
        <f t="shared" si="6"/>
        <v/>
      </c>
      <c r="O21" s="29" t="str">
        <f t="shared" si="11"/>
        <v/>
      </c>
      <c r="P21" s="43" t="str">
        <f t="shared" si="7"/>
        <v/>
      </c>
      <c r="Q21" s="89"/>
      <c r="R21" s="87"/>
      <c r="S21" s="47"/>
      <c r="T21" s="101"/>
      <c r="U21" s="101"/>
      <c r="V21" s="100"/>
      <c r="W21" s="101"/>
      <c r="X21" s="101"/>
      <c r="Y21" s="102"/>
      <c r="Z21" s="100"/>
      <c r="AA21" s="101"/>
      <c r="AB21" s="101"/>
      <c r="AC21" s="102"/>
      <c r="AD21" s="102"/>
      <c r="AE21" s="101"/>
      <c r="AF21" s="101"/>
      <c r="AG21" s="48"/>
      <c r="AH21" s="89"/>
      <c r="AJ21" s="180">
        <f>IF(Input!P20&lt;&gt;"",Input!P20,"")</f>
        <v>1</v>
      </c>
      <c r="AK21" s="173">
        <f>IF(Input!Q20&lt;&gt;"",Input!Q20,"")</f>
        <v>310</v>
      </c>
      <c r="AL21" s="106"/>
      <c r="AM21" s="106"/>
      <c r="AN21" s="176"/>
      <c r="AO21" s="104"/>
      <c r="AP21" s="177"/>
      <c r="AQ21" s="104"/>
      <c r="AY21" s="178"/>
    </row>
    <row r="22" spans="1:51" ht="16" customHeight="1" x14ac:dyDescent="0.3">
      <c r="A22" s="87"/>
      <c r="B22" s="42">
        <f t="shared" si="0"/>
        <v>1</v>
      </c>
      <c r="C22" s="29">
        <f t="shared" si="8"/>
        <v>7</v>
      </c>
      <c r="D22" s="29">
        <f t="shared" si="1"/>
        <v>200</v>
      </c>
      <c r="E22" s="30"/>
      <c r="F22" s="29" t="str">
        <f t="shared" si="2"/>
        <v/>
      </c>
      <c r="G22" s="29" t="str">
        <f t="shared" si="9"/>
        <v/>
      </c>
      <c r="H22" s="31" t="str">
        <f t="shared" si="3"/>
        <v/>
      </c>
      <c r="I22" s="30"/>
      <c r="J22" s="29" t="str">
        <f t="shared" si="4"/>
        <v/>
      </c>
      <c r="K22" s="29" t="str">
        <f t="shared" si="10"/>
        <v/>
      </c>
      <c r="L22" s="31" t="str">
        <f t="shared" si="5"/>
        <v/>
      </c>
      <c r="M22" s="31"/>
      <c r="N22" s="29" t="str">
        <f t="shared" si="6"/>
        <v/>
      </c>
      <c r="O22" s="29" t="str">
        <f t="shared" si="11"/>
        <v/>
      </c>
      <c r="P22" s="43" t="str">
        <f t="shared" si="7"/>
        <v/>
      </c>
      <c r="Q22" s="89"/>
      <c r="R22" s="87"/>
      <c r="S22" s="47"/>
      <c r="T22" s="101"/>
      <c r="U22" s="101"/>
      <c r="V22" s="100"/>
      <c r="W22" s="101"/>
      <c r="X22" s="101"/>
      <c r="Y22" s="102"/>
      <c r="Z22" s="100"/>
      <c r="AA22" s="101"/>
      <c r="AB22" s="101"/>
      <c r="AC22" s="102"/>
      <c r="AD22" s="102"/>
      <c r="AE22" s="101"/>
      <c r="AF22" s="101"/>
      <c r="AG22" s="48"/>
      <c r="AH22" s="89"/>
      <c r="AJ22" s="180">
        <f>IF(Input!P21&lt;&gt;"",Input!P21,"")</f>
        <v>1</v>
      </c>
      <c r="AK22" s="173">
        <f>IF(Input!Q21&lt;&gt;"",Input!Q21,"")</f>
        <v>340</v>
      </c>
      <c r="AL22" s="106"/>
      <c r="AM22" s="106"/>
      <c r="AN22" s="105"/>
      <c r="AO22" s="105"/>
      <c r="AP22" s="105"/>
      <c r="AQ22" s="104"/>
      <c r="AY22" s="178"/>
    </row>
    <row r="23" spans="1:51" ht="16" customHeight="1" x14ac:dyDescent="0.3">
      <c r="A23" s="87"/>
      <c r="B23" s="42">
        <f t="shared" si="0"/>
        <v>1</v>
      </c>
      <c r="C23" s="29">
        <f t="shared" si="8"/>
        <v>8</v>
      </c>
      <c r="D23" s="29">
        <f t="shared" si="1"/>
        <v>210</v>
      </c>
      <c r="E23" s="30"/>
      <c r="F23" s="29" t="str">
        <f t="shared" si="2"/>
        <v/>
      </c>
      <c r="G23" s="29" t="str">
        <f t="shared" si="9"/>
        <v/>
      </c>
      <c r="H23" s="31" t="str">
        <f t="shared" si="3"/>
        <v/>
      </c>
      <c r="I23" s="30"/>
      <c r="J23" s="29" t="str">
        <f t="shared" si="4"/>
        <v/>
      </c>
      <c r="K23" s="29" t="str">
        <f t="shared" si="10"/>
        <v/>
      </c>
      <c r="L23" s="31" t="str">
        <f t="shared" si="5"/>
        <v/>
      </c>
      <c r="M23" s="31"/>
      <c r="N23" s="29" t="str">
        <f t="shared" si="6"/>
        <v/>
      </c>
      <c r="O23" s="29" t="str">
        <f t="shared" si="11"/>
        <v/>
      </c>
      <c r="P23" s="43" t="str">
        <f t="shared" si="7"/>
        <v/>
      </c>
      <c r="Q23" s="89"/>
      <c r="R23" s="87"/>
      <c r="S23" s="47"/>
      <c r="T23" s="101"/>
      <c r="U23" s="101"/>
      <c r="V23" s="100"/>
      <c r="W23" s="101"/>
      <c r="X23" s="101"/>
      <c r="Y23" s="102"/>
      <c r="Z23" s="100"/>
      <c r="AA23" s="101"/>
      <c r="AB23" s="101"/>
      <c r="AC23" s="102"/>
      <c r="AD23" s="102"/>
      <c r="AE23" s="101"/>
      <c r="AF23" s="101"/>
      <c r="AG23" s="48"/>
      <c r="AH23" s="89"/>
      <c r="AJ23" s="180">
        <f>IF(Input!P22&lt;&gt;"",Input!P22,"")</f>
        <v>1</v>
      </c>
      <c r="AK23" s="173">
        <f>IF(Input!Q22&lt;&gt;"",Input!Q22,"")</f>
        <v>360</v>
      </c>
      <c r="AL23" s="106"/>
      <c r="AM23" s="106"/>
      <c r="AN23" s="105"/>
      <c r="AO23" s="106"/>
      <c r="AP23" s="106"/>
      <c r="AQ23" s="104"/>
      <c r="AY23" s="178"/>
    </row>
    <row r="24" spans="1:51" ht="16" customHeight="1" x14ac:dyDescent="0.35">
      <c r="A24" s="87"/>
      <c r="B24" s="42">
        <f t="shared" si="0"/>
        <v>1</v>
      </c>
      <c r="C24" s="29">
        <f t="shared" si="8"/>
        <v>9</v>
      </c>
      <c r="D24" s="29">
        <f t="shared" si="1"/>
        <v>220</v>
      </c>
      <c r="E24" s="30"/>
      <c r="F24" s="29" t="str">
        <f t="shared" si="2"/>
        <v/>
      </c>
      <c r="G24" s="29" t="str">
        <f t="shared" si="9"/>
        <v/>
      </c>
      <c r="H24" s="31" t="str">
        <f t="shared" si="3"/>
        <v/>
      </c>
      <c r="I24" s="30"/>
      <c r="J24" s="29" t="str">
        <f t="shared" si="4"/>
        <v/>
      </c>
      <c r="K24" s="29" t="str">
        <f t="shared" si="10"/>
        <v/>
      </c>
      <c r="L24" s="31" t="str">
        <f t="shared" si="5"/>
        <v/>
      </c>
      <c r="M24" s="31"/>
      <c r="N24" s="29" t="str">
        <f t="shared" si="6"/>
        <v/>
      </c>
      <c r="O24" s="29" t="str">
        <f t="shared" si="11"/>
        <v/>
      </c>
      <c r="P24" s="43" t="str">
        <f t="shared" si="7"/>
        <v/>
      </c>
      <c r="Q24" s="89"/>
      <c r="R24" s="87"/>
      <c r="S24" s="47"/>
      <c r="T24" s="101"/>
      <c r="U24" s="101"/>
      <c r="V24" s="100"/>
      <c r="W24" s="101"/>
      <c r="X24" s="101"/>
      <c r="Y24" s="102"/>
      <c r="Z24" s="100"/>
      <c r="AA24" s="101"/>
      <c r="AB24" s="101"/>
      <c r="AC24" s="102"/>
      <c r="AD24" s="102"/>
      <c r="AE24" s="101"/>
      <c r="AF24" s="101"/>
      <c r="AG24" s="48"/>
      <c r="AH24" s="89"/>
      <c r="AJ24" s="180">
        <f>IF(Input!P23&lt;&gt;"",Input!P23,"")</f>
        <v>1</v>
      </c>
      <c r="AK24" s="173">
        <f>IF(Input!Q23&lt;&gt;"",Input!Q23,"")</f>
        <v>380</v>
      </c>
      <c r="AL24" s="106"/>
      <c r="AM24" s="106"/>
      <c r="AN24" s="109"/>
      <c r="AO24"/>
      <c r="AP24"/>
      <c r="AQ24" s="104"/>
      <c r="AY24" s="178"/>
    </row>
    <row r="25" spans="1:51" ht="16" customHeight="1" x14ac:dyDescent="0.35">
      <c r="A25" s="87"/>
      <c r="B25" s="42">
        <f t="shared" si="0"/>
        <v>1</v>
      </c>
      <c r="C25" s="29">
        <f t="shared" si="8"/>
        <v>10</v>
      </c>
      <c r="D25" s="29">
        <f t="shared" si="1"/>
        <v>230</v>
      </c>
      <c r="E25" s="30"/>
      <c r="F25" s="29" t="str">
        <f t="shared" si="2"/>
        <v/>
      </c>
      <c r="G25" s="29" t="str">
        <f t="shared" si="9"/>
        <v/>
      </c>
      <c r="H25" s="31" t="str">
        <f t="shared" si="3"/>
        <v/>
      </c>
      <c r="I25" s="30"/>
      <c r="J25" s="29" t="str">
        <f t="shared" si="4"/>
        <v/>
      </c>
      <c r="K25" s="29" t="str">
        <f t="shared" si="10"/>
        <v/>
      </c>
      <c r="L25" s="31" t="str">
        <f t="shared" si="5"/>
        <v/>
      </c>
      <c r="M25" s="31"/>
      <c r="N25" s="29" t="str">
        <f t="shared" si="6"/>
        <v/>
      </c>
      <c r="O25" s="29" t="str">
        <f t="shared" si="11"/>
        <v/>
      </c>
      <c r="P25" s="43" t="str">
        <f t="shared" si="7"/>
        <v/>
      </c>
      <c r="Q25" s="89"/>
      <c r="R25" s="87"/>
      <c r="S25" s="47"/>
      <c r="T25" s="101"/>
      <c r="U25" s="101"/>
      <c r="V25" s="100"/>
      <c r="W25" s="101"/>
      <c r="X25" s="101"/>
      <c r="Y25" s="102"/>
      <c r="Z25" s="100"/>
      <c r="AA25" s="101"/>
      <c r="AB25" s="101"/>
      <c r="AC25" s="102"/>
      <c r="AD25" s="102"/>
      <c r="AE25" s="101"/>
      <c r="AF25" s="101"/>
      <c r="AG25" s="48"/>
      <c r="AH25" s="89"/>
      <c r="AJ25" s="180">
        <f>IF(Input!P24&lt;&gt;"",Input!P24,"")</f>
        <v>1</v>
      </c>
      <c r="AK25" s="173">
        <f>IF(Input!Q24&lt;&gt;"",Input!Q24,"")</f>
        <v>390</v>
      </c>
      <c r="AL25"/>
      <c r="AP25"/>
      <c r="AY25" s="178"/>
    </row>
    <row r="26" spans="1:51" ht="16" customHeight="1" x14ac:dyDescent="0.35">
      <c r="A26" s="87"/>
      <c r="B26" s="42">
        <f t="shared" si="0"/>
        <v>1</v>
      </c>
      <c r="C26" s="29">
        <f t="shared" si="8"/>
        <v>11</v>
      </c>
      <c r="D26" s="29">
        <f t="shared" si="1"/>
        <v>240</v>
      </c>
      <c r="E26" s="30"/>
      <c r="F26" s="29" t="str">
        <f t="shared" si="2"/>
        <v/>
      </c>
      <c r="G26" s="29" t="str">
        <f t="shared" si="9"/>
        <v/>
      </c>
      <c r="H26" s="31" t="str">
        <f t="shared" si="3"/>
        <v/>
      </c>
      <c r="I26" s="30"/>
      <c r="J26" s="29" t="str">
        <f t="shared" si="4"/>
        <v/>
      </c>
      <c r="K26" s="29" t="str">
        <f t="shared" si="10"/>
        <v/>
      </c>
      <c r="L26" s="31" t="str">
        <f t="shared" si="5"/>
        <v/>
      </c>
      <c r="M26" s="31"/>
      <c r="N26" s="29" t="str">
        <f t="shared" si="6"/>
        <v/>
      </c>
      <c r="O26" s="29" t="str">
        <f t="shared" si="11"/>
        <v/>
      </c>
      <c r="P26" s="43" t="str">
        <f t="shared" si="7"/>
        <v/>
      </c>
      <c r="Q26" s="89"/>
      <c r="R26" s="87"/>
      <c r="S26" s="47"/>
      <c r="T26" s="101"/>
      <c r="U26" s="101"/>
      <c r="V26" s="100"/>
      <c r="W26" s="101"/>
      <c r="X26" s="101"/>
      <c r="Y26" s="102"/>
      <c r="Z26" s="100"/>
      <c r="AA26" s="101"/>
      <c r="AB26" s="101"/>
      <c r="AC26" s="102"/>
      <c r="AD26" s="102"/>
      <c r="AE26" s="101"/>
      <c r="AF26" s="101"/>
      <c r="AG26" s="48"/>
      <c r="AH26" s="89"/>
      <c r="AJ26" s="180">
        <f>IF(Input!P25&lt;&gt;"",Input!P25,"")</f>
        <v>1</v>
      </c>
      <c r="AK26" s="173">
        <f>IF(Input!Q25&lt;&gt;"",Input!Q25,"")</f>
        <v>410</v>
      </c>
      <c r="AL26"/>
      <c r="AM26"/>
      <c r="AN26"/>
      <c r="AO26"/>
      <c r="AP26"/>
      <c r="AY26" s="178"/>
    </row>
    <row r="27" spans="1:51" ht="16" customHeight="1" x14ac:dyDescent="0.35">
      <c r="A27" s="87"/>
      <c r="B27" s="42">
        <f t="shared" si="0"/>
        <v>1</v>
      </c>
      <c r="C27" s="29">
        <f t="shared" si="8"/>
        <v>12</v>
      </c>
      <c r="D27" s="29">
        <f t="shared" si="1"/>
        <v>250</v>
      </c>
      <c r="E27" s="30"/>
      <c r="F27" s="29" t="str">
        <f t="shared" si="2"/>
        <v/>
      </c>
      <c r="G27" s="29" t="str">
        <f t="shared" si="9"/>
        <v/>
      </c>
      <c r="H27" s="31" t="str">
        <f t="shared" si="3"/>
        <v/>
      </c>
      <c r="I27" s="30"/>
      <c r="J27" s="29" t="str">
        <f t="shared" si="4"/>
        <v/>
      </c>
      <c r="K27" s="29" t="str">
        <f t="shared" si="10"/>
        <v/>
      </c>
      <c r="L27" s="31" t="str">
        <f t="shared" si="5"/>
        <v/>
      </c>
      <c r="M27" s="31"/>
      <c r="N27" s="29" t="str">
        <f t="shared" si="6"/>
        <v/>
      </c>
      <c r="O27" s="29" t="str">
        <f t="shared" si="11"/>
        <v/>
      </c>
      <c r="P27" s="43" t="str">
        <f t="shared" si="7"/>
        <v/>
      </c>
      <c r="Q27" s="89"/>
      <c r="R27" s="87"/>
      <c r="S27" s="47"/>
      <c r="T27" s="101"/>
      <c r="U27" s="101"/>
      <c r="V27" s="100"/>
      <c r="W27" s="101"/>
      <c r="X27" s="101"/>
      <c r="Y27" s="102"/>
      <c r="Z27" s="100"/>
      <c r="AA27" s="101"/>
      <c r="AB27" s="101"/>
      <c r="AC27" s="102"/>
      <c r="AD27" s="102"/>
      <c r="AE27" s="101"/>
      <c r="AF27" s="101"/>
      <c r="AG27" s="48"/>
      <c r="AH27" s="89"/>
      <c r="AJ27" s="180">
        <f>IF(Input!P26&lt;&gt;"",Input!P26,"")</f>
        <v>1</v>
      </c>
      <c r="AK27" s="173">
        <f>IF(Input!Q26&lt;&gt;"",Input!Q26,"")</f>
        <v>420</v>
      </c>
      <c r="AL27" s="188"/>
      <c r="AM27" s="105"/>
      <c r="AN27" s="105"/>
      <c r="AQ27"/>
      <c r="AR27"/>
      <c r="AT27"/>
      <c r="AY27" s="178"/>
    </row>
    <row r="28" spans="1:51" ht="16" customHeight="1" x14ac:dyDescent="0.35">
      <c r="A28" s="87"/>
      <c r="B28" s="42">
        <f t="shared" si="0"/>
        <v>1</v>
      </c>
      <c r="C28" s="29">
        <f t="shared" si="8"/>
        <v>13</v>
      </c>
      <c r="D28" s="29">
        <f t="shared" si="1"/>
        <v>260</v>
      </c>
      <c r="E28" s="30"/>
      <c r="F28" s="29" t="str">
        <f t="shared" si="2"/>
        <v/>
      </c>
      <c r="G28" s="29" t="str">
        <f t="shared" si="9"/>
        <v/>
      </c>
      <c r="H28" s="31" t="str">
        <f t="shared" si="3"/>
        <v/>
      </c>
      <c r="I28" s="30"/>
      <c r="J28" s="29" t="str">
        <f t="shared" si="4"/>
        <v/>
      </c>
      <c r="K28" s="29" t="str">
        <f t="shared" si="10"/>
        <v/>
      </c>
      <c r="L28" s="31" t="str">
        <f t="shared" si="5"/>
        <v/>
      </c>
      <c r="M28" s="31"/>
      <c r="N28" s="29" t="str">
        <f t="shared" si="6"/>
        <v/>
      </c>
      <c r="O28" s="29" t="str">
        <f t="shared" si="11"/>
        <v/>
      </c>
      <c r="P28" s="43" t="str">
        <f t="shared" si="7"/>
        <v/>
      </c>
      <c r="Q28" s="89"/>
      <c r="R28" s="87"/>
      <c r="S28" s="47"/>
      <c r="T28" s="101"/>
      <c r="U28" s="101"/>
      <c r="V28" s="100"/>
      <c r="W28" s="101"/>
      <c r="X28" s="101"/>
      <c r="Y28" s="102"/>
      <c r="Z28" s="100"/>
      <c r="AA28" s="101"/>
      <c r="AB28" s="101"/>
      <c r="AC28" s="102"/>
      <c r="AD28" s="102"/>
      <c r="AE28" s="101"/>
      <c r="AF28" s="101"/>
      <c r="AG28" s="48"/>
      <c r="AH28" s="89"/>
      <c r="AJ28" s="180">
        <f>IF(Input!P27&lt;&gt;"",Input!P27,"")</f>
        <v>1</v>
      </c>
      <c r="AK28" s="173">
        <f>IF(Input!Q27&lt;&gt;"",Input!Q27,"")</f>
        <v>440</v>
      </c>
      <c r="AL28" s="188"/>
      <c r="AM28" s="106"/>
      <c r="AN28" s="106"/>
      <c r="AO28" s="106"/>
      <c r="AP28" s="106"/>
      <c r="AQ28"/>
      <c r="AR28"/>
      <c r="AS28"/>
      <c r="AT28" s="109"/>
      <c r="AY28" s="178"/>
    </row>
    <row r="29" spans="1:51" ht="16" customHeight="1" x14ac:dyDescent="0.35">
      <c r="A29" s="87"/>
      <c r="B29" s="42">
        <f t="shared" si="0"/>
        <v>1</v>
      </c>
      <c r="C29" s="29">
        <f t="shared" si="8"/>
        <v>14</v>
      </c>
      <c r="D29" s="29">
        <f t="shared" si="1"/>
        <v>270</v>
      </c>
      <c r="E29" s="30"/>
      <c r="F29" s="29" t="str">
        <f t="shared" si="2"/>
        <v/>
      </c>
      <c r="G29" s="29" t="str">
        <f t="shared" si="9"/>
        <v/>
      </c>
      <c r="H29" s="31" t="str">
        <f t="shared" si="3"/>
        <v/>
      </c>
      <c r="I29" s="30"/>
      <c r="J29" s="29" t="str">
        <f t="shared" si="4"/>
        <v/>
      </c>
      <c r="K29" s="29" t="str">
        <f t="shared" si="10"/>
        <v/>
      </c>
      <c r="L29" s="31" t="str">
        <f t="shared" si="5"/>
        <v/>
      </c>
      <c r="M29" s="31"/>
      <c r="N29" s="29" t="str">
        <f t="shared" si="6"/>
        <v/>
      </c>
      <c r="O29" s="29" t="str">
        <f t="shared" si="11"/>
        <v/>
      </c>
      <c r="P29" s="43" t="str">
        <f t="shared" si="7"/>
        <v/>
      </c>
      <c r="Q29" s="89"/>
      <c r="R29" s="87"/>
      <c r="S29" s="47"/>
      <c r="T29" s="101"/>
      <c r="U29" s="101"/>
      <c r="V29" s="100"/>
      <c r="W29" s="101"/>
      <c r="X29" s="101"/>
      <c r="Y29" s="102"/>
      <c r="Z29" s="100"/>
      <c r="AA29" s="101"/>
      <c r="AB29" s="101"/>
      <c r="AC29" s="102"/>
      <c r="AD29" s="102"/>
      <c r="AE29" s="101"/>
      <c r="AF29" s="101"/>
      <c r="AG29" s="48"/>
      <c r="AH29" s="89"/>
      <c r="AJ29" s="180">
        <f>IF(Input!P28&lt;&gt;"",Input!P28,"")</f>
        <v>1</v>
      </c>
      <c r="AK29" s="173">
        <f>IF(Input!Q28&lt;&gt;"",Input!Q28,"")</f>
        <v>460</v>
      </c>
      <c r="AL29" s="188"/>
      <c r="AM29" s="109"/>
      <c r="AN29" s="109"/>
      <c r="AQ29" s="109"/>
      <c r="AR29"/>
      <c r="AT29" s="109"/>
      <c r="AY29" s="178"/>
    </row>
    <row r="30" spans="1:51" ht="16" customHeight="1" x14ac:dyDescent="0.35">
      <c r="A30" s="87"/>
      <c r="B30" s="42">
        <f t="shared" si="0"/>
        <v>1</v>
      </c>
      <c r="C30" s="29">
        <f t="shared" si="8"/>
        <v>15</v>
      </c>
      <c r="D30" s="29">
        <f t="shared" si="1"/>
        <v>280</v>
      </c>
      <c r="E30" s="30"/>
      <c r="F30" s="29" t="str">
        <f t="shared" si="2"/>
        <v/>
      </c>
      <c r="G30" s="29" t="str">
        <f t="shared" si="9"/>
        <v/>
      </c>
      <c r="H30" s="31" t="str">
        <f t="shared" si="3"/>
        <v/>
      </c>
      <c r="I30" s="30"/>
      <c r="J30" s="29" t="str">
        <f t="shared" si="4"/>
        <v/>
      </c>
      <c r="K30" s="29" t="str">
        <f t="shared" si="10"/>
        <v/>
      </c>
      <c r="L30" s="31" t="str">
        <f t="shared" si="5"/>
        <v/>
      </c>
      <c r="M30" s="31"/>
      <c r="N30" s="29" t="str">
        <f t="shared" si="6"/>
        <v/>
      </c>
      <c r="O30" s="29" t="str">
        <f t="shared" si="11"/>
        <v/>
      </c>
      <c r="P30" s="43" t="str">
        <f t="shared" si="7"/>
        <v/>
      </c>
      <c r="Q30" s="89"/>
      <c r="R30" s="87"/>
      <c r="S30" s="47"/>
      <c r="T30" s="101"/>
      <c r="U30" s="101"/>
      <c r="V30" s="100"/>
      <c r="W30" s="101"/>
      <c r="X30" s="101"/>
      <c r="Y30" s="102"/>
      <c r="Z30" s="100"/>
      <c r="AA30" s="101"/>
      <c r="AB30" s="101"/>
      <c r="AC30" s="102"/>
      <c r="AD30" s="102"/>
      <c r="AE30" s="101"/>
      <c r="AF30" s="101"/>
      <c r="AG30" s="48"/>
      <c r="AH30" s="89"/>
      <c r="AJ30" s="180">
        <f>IF(Input!P29&lt;&gt;"",Input!P29,"")</f>
        <v>1</v>
      </c>
      <c r="AK30" s="173">
        <f>IF(Input!Q29&lt;&gt;"",Input!Q29,"")</f>
        <v>480</v>
      </c>
      <c r="AL30" s="188"/>
      <c r="AM30" s="106"/>
      <c r="AN30" s="106"/>
      <c r="AO30" s="106"/>
      <c r="AP30" s="106"/>
      <c r="AQ30"/>
      <c r="AR30"/>
      <c r="AS30"/>
      <c r="AT30" s="109"/>
      <c r="AY30" s="178"/>
    </row>
    <row r="31" spans="1:51" ht="16" customHeight="1" x14ac:dyDescent="0.35">
      <c r="A31" s="87"/>
      <c r="B31" s="42">
        <f t="shared" si="0"/>
        <v>1</v>
      </c>
      <c r="C31" s="29">
        <f t="shared" si="8"/>
        <v>16</v>
      </c>
      <c r="D31" s="29">
        <f t="shared" si="1"/>
        <v>300</v>
      </c>
      <c r="E31" s="30"/>
      <c r="F31" s="29" t="str">
        <f t="shared" si="2"/>
        <v/>
      </c>
      <c r="G31" s="29" t="str">
        <f t="shared" si="9"/>
        <v/>
      </c>
      <c r="H31" s="31" t="str">
        <f t="shared" si="3"/>
        <v/>
      </c>
      <c r="I31" s="30"/>
      <c r="J31" s="29" t="str">
        <f t="shared" si="4"/>
        <v/>
      </c>
      <c r="K31" s="29" t="str">
        <f t="shared" si="10"/>
        <v/>
      </c>
      <c r="L31" s="31" t="str">
        <f t="shared" si="5"/>
        <v/>
      </c>
      <c r="M31" s="31"/>
      <c r="N31" s="29" t="str">
        <f t="shared" si="6"/>
        <v/>
      </c>
      <c r="O31" s="29" t="str">
        <f t="shared" si="11"/>
        <v/>
      </c>
      <c r="P31" s="43" t="str">
        <f t="shared" si="7"/>
        <v/>
      </c>
      <c r="Q31" s="89"/>
      <c r="R31" s="87"/>
      <c r="S31" s="47"/>
      <c r="T31" s="101"/>
      <c r="U31" s="101"/>
      <c r="V31" s="100"/>
      <c r="W31" s="101"/>
      <c r="X31" s="101"/>
      <c r="Y31" s="102"/>
      <c r="Z31" s="100"/>
      <c r="AA31" s="101"/>
      <c r="AB31" s="101"/>
      <c r="AC31" s="102"/>
      <c r="AD31" s="102"/>
      <c r="AE31" s="101"/>
      <c r="AF31" s="101"/>
      <c r="AG31" s="48"/>
      <c r="AH31" s="89"/>
      <c r="AJ31" s="180">
        <f>IF(Input!P30&lt;&gt;"",Input!P30,"")</f>
        <v>1</v>
      </c>
      <c r="AK31" s="173">
        <f>IF(Input!Q30&lt;&gt;"",Input!Q30,"")</f>
        <v>495</v>
      </c>
      <c r="AL31" s="188"/>
      <c r="AM31" s="109"/>
      <c r="AN31" s="109"/>
      <c r="AQ31" s="109"/>
      <c r="AR31"/>
      <c r="AT31" s="109"/>
      <c r="AY31" s="178"/>
    </row>
    <row r="32" spans="1:51" ht="16" customHeight="1" x14ac:dyDescent="0.35">
      <c r="A32" s="87"/>
      <c r="B32" s="42">
        <f t="shared" si="0"/>
        <v>1</v>
      </c>
      <c r="C32" s="29">
        <f t="shared" si="8"/>
        <v>17</v>
      </c>
      <c r="D32" s="29">
        <f t="shared" si="1"/>
        <v>310</v>
      </c>
      <c r="E32" s="30"/>
      <c r="F32" s="29" t="str">
        <f t="shared" si="2"/>
        <v/>
      </c>
      <c r="G32" s="29" t="str">
        <f t="shared" si="9"/>
        <v/>
      </c>
      <c r="H32" s="31" t="str">
        <f t="shared" si="3"/>
        <v/>
      </c>
      <c r="I32" s="30"/>
      <c r="J32" s="29" t="str">
        <f t="shared" si="4"/>
        <v/>
      </c>
      <c r="K32" s="29" t="str">
        <f t="shared" si="10"/>
        <v/>
      </c>
      <c r="L32" s="31" t="str">
        <f t="shared" si="5"/>
        <v/>
      </c>
      <c r="M32" s="31"/>
      <c r="N32" s="29" t="str">
        <f t="shared" si="6"/>
        <v/>
      </c>
      <c r="O32" s="29" t="str">
        <f t="shared" si="11"/>
        <v/>
      </c>
      <c r="P32" s="43" t="str">
        <f t="shared" si="7"/>
        <v/>
      </c>
      <c r="Q32" s="89"/>
      <c r="R32" s="87"/>
      <c r="S32" s="47"/>
      <c r="T32" s="101"/>
      <c r="U32" s="101"/>
      <c r="V32" s="100"/>
      <c r="W32" s="101"/>
      <c r="X32" s="101"/>
      <c r="Y32" s="102"/>
      <c r="Z32" s="100"/>
      <c r="AA32" s="101"/>
      <c r="AB32" s="101"/>
      <c r="AC32" s="102"/>
      <c r="AD32" s="102"/>
      <c r="AE32" s="101"/>
      <c r="AF32" s="101"/>
      <c r="AG32" s="48"/>
      <c r="AH32" s="89"/>
      <c r="AJ32" s="180">
        <f>IF(Input!P31&lt;&gt;"",Input!P31,"")</f>
        <v>1</v>
      </c>
      <c r="AK32" s="173">
        <f>IF(Input!Q31&lt;&gt;"",Input!Q31,"")</f>
        <v>510</v>
      </c>
      <c r="AL32" s="188"/>
      <c r="AM32" s="105"/>
      <c r="AN32" s="105"/>
      <c r="AQ32" s="109"/>
      <c r="AR32"/>
      <c r="AT32" s="109"/>
      <c r="AY32" s="178"/>
    </row>
    <row r="33" spans="1:51" ht="16" customHeight="1" x14ac:dyDescent="0.35">
      <c r="A33" s="87"/>
      <c r="B33" s="42">
        <f t="shared" si="0"/>
        <v>1</v>
      </c>
      <c r="C33" s="29">
        <f t="shared" si="8"/>
        <v>18</v>
      </c>
      <c r="D33" s="29">
        <f t="shared" si="1"/>
        <v>340</v>
      </c>
      <c r="E33" s="30"/>
      <c r="F33" s="29" t="str">
        <f t="shared" si="2"/>
        <v/>
      </c>
      <c r="G33" s="29" t="str">
        <f t="shared" si="9"/>
        <v/>
      </c>
      <c r="H33" s="31" t="str">
        <f t="shared" si="3"/>
        <v/>
      </c>
      <c r="I33" s="30"/>
      <c r="J33" s="29" t="str">
        <f t="shared" si="4"/>
        <v/>
      </c>
      <c r="K33" s="29" t="str">
        <f t="shared" si="10"/>
        <v/>
      </c>
      <c r="L33" s="31" t="str">
        <f t="shared" si="5"/>
        <v/>
      </c>
      <c r="M33" s="31"/>
      <c r="N33" s="29" t="str">
        <f t="shared" si="6"/>
        <v/>
      </c>
      <c r="O33" s="29" t="str">
        <f t="shared" si="11"/>
        <v/>
      </c>
      <c r="P33" s="43" t="str">
        <f t="shared" si="7"/>
        <v/>
      </c>
      <c r="Q33" s="89"/>
      <c r="R33" s="87"/>
      <c r="S33" s="47"/>
      <c r="T33" s="101"/>
      <c r="U33" s="101"/>
      <c r="V33" s="100"/>
      <c r="W33" s="101"/>
      <c r="X33" s="101"/>
      <c r="Y33" s="102"/>
      <c r="Z33" s="100"/>
      <c r="AA33" s="101"/>
      <c r="AB33" s="101"/>
      <c r="AC33" s="102"/>
      <c r="AD33" s="102"/>
      <c r="AE33" s="101"/>
      <c r="AF33" s="101"/>
      <c r="AG33" s="48"/>
      <c r="AH33" s="89"/>
      <c r="AJ33" s="180">
        <f>IF(Input!P32&lt;&gt;"",Input!P32,"")</f>
        <v>1</v>
      </c>
      <c r="AK33" s="173">
        <f>IF(Input!Q32&lt;&gt;"",Input!Q32,"")</f>
        <v>525</v>
      </c>
      <c r="AL33" s="188"/>
      <c r="AM33" s="106"/>
      <c r="AN33" s="106"/>
      <c r="AO33" s="106"/>
      <c r="AP33" s="106"/>
      <c r="AQ33"/>
      <c r="AR33"/>
      <c r="AS33"/>
      <c r="AT33" s="109"/>
      <c r="AY33" s="178"/>
    </row>
    <row r="34" spans="1:51" ht="16" customHeight="1" x14ac:dyDescent="0.35">
      <c r="A34" s="87"/>
      <c r="B34" s="42">
        <f t="shared" si="0"/>
        <v>1</v>
      </c>
      <c r="C34" s="29">
        <f t="shared" si="8"/>
        <v>19</v>
      </c>
      <c r="D34" s="29">
        <f t="shared" si="1"/>
        <v>360</v>
      </c>
      <c r="E34" s="30"/>
      <c r="F34" s="29" t="str">
        <f t="shared" si="2"/>
        <v/>
      </c>
      <c r="G34" s="29" t="str">
        <f t="shared" si="9"/>
        <v/>
      </c>
      <c r="H34" s="31" t="str">
        <f t="shared" si="3"/>
        <v/>
      </c>
      <c r="I34" s="30"/>
      <c r="J34" s="29" t="str">
        <f t="shared" si="4"/>
        <v/>
      </c>
      <c r="K34" s="29" t="str">
        <f t="shared" si="10"/>
        <v/>
      </c>
      <c r="L34" s="31" t="str">
        <f t="shared" si="5"/>
        <v/>
      </c>
      <c r="M34" s="31"/>
      <c r="N34" s="29" t="str">
        <f t="shared" si="6"/>
        <v/>
      </c>
      <c r="O34" s="29" t="str">
        <f t="shared" si="11"/>
        <v/>
      </c>
      <c r="P34" s="43" t="str">
        <f t="shared" si="7"/>
        <v/>
      </c>
      <c r="Q34" s="89"/>
      <c r="R34" s="87"/>
      <c r="S34" s="47"/>
      <c r="T34" s="101"/>
      <c r="U34" s="101"/>
      <c r="V34" s="100"/>
      <c r="W34" s="101"/>
      <c r="X34" s="101"/>
      <c r="Y34" s="102"/>
      <c r="Z34" s="100"/>
      <c r="AA34" s="101"/>
      <c r="AB34" s="101"/>
      <c r="AC34" s="102"/>
      <c r="AD34" s="102"/>
      <c r="AE34" s="101"/>
      <c r="AF34" s="101"/>
      <c r="AG34" s="48"/>
      <c r="AH34" s="89"/>
      <c r="AJ34" s="180">
        <f>IF(Input!P33&lt;&gt;"",Input!P33,"")</f>
        <v>1</v>
      </c>
      <c r="AK34" s="173">
        <f>IF(Input!Q33&lt;&gt;"",Input!Q33,"")</f>
        <v>540</v>
      </c>
      <c r="AL34" s="188"/>
      <c r="AM34" s="105"/>
      <c r="AN34" s="105"/>
      <c r="AQ34" s="109"/>
      <c r="AR34"/>
      <c r="AT34" s="109"/>
      <c r="AY34" s="178"/>
    </row>
    <row r="35" spans="1:51" ht="16" customHeight="1" x14ac:dyDescent="0.35">
      <c r="A35" s="87"/>
      <c r="B35" s="42">
        <f t="shared" si="0"/>
        <v>1</v>
      </c>
      <c r="C35" s="29">
        <f t="shared" si="8"/>
        <v>20</v>
      </c>
      <c r="D35" s="29">
        <f t="shared" si="1"/>
        <v>380</v>
      </c>
      <c r="E35" s="30"/>
      <c r="F35" s="29" t="str">
        <f t="shared" si="2"/>
        <v/>
      </c>
      <c r="G35" s="29" t="str">
        <f t="shared" si="9"/>
        <v/>
      </c>
      <c r="H35" s="31" t="str">
        <f t="shared" si="3"/>
        <v/>
      </c>
      <c r="I35" s="30"/>
      <c r="J35" s="29" t="str">
        <f t="shared" si="4"/>
        <v/>
      </c>
      <c r="K35" s="29" t="str">
        <f t="shared" si="10"/>
        <v/>
      </c>
      <c r="L35" s="31" t="str">
        <f t="shared" si="5"/>
        <v/>
      </c>
      <c r="M35" s="31"/>
      <c r="N35" s="29" t="str">
        <f t="shared" si="6"/>
        <v/>
      </c>
      <c r="O35" s="29" t="str">
        <f t="shared" si="11"/>
        <v/>
      </c>
      <c r="P35" s="43" t="str">
        <f t="shared" si="7"/>
        <v/>
      </c>
      <c r="Q35" s="89"/>
      <c r="R35" s="87"/>
      <c r="S35" s="357" t="s">
        <v>22</v>
      </c>
      <c r="T35" s="358"/>
      <c r="U35" s="358"/>
      <c r="V35" s="359"/>
      <c r="W35" s="360" t="s">
        <v>49</v>
      </c>
      <c r="X35" s="360"/>
      <c r="Y35" s="20" t="s">
        <v>48</v>
      </c>
      <c r="Z35" s="19"/>
      <c r="AA35" s="2">
        <v>2.48</v>
      </c>
      <c r="AB35" s="3">
        <v>-1.0569999999999999</v>
      </c>
      <c r="AC35" s="361" t="s">
        <v>50</v>
      </c>
      <c r="AD35" s="361"/>
      <c r="AE35" s="361"/>
      <c r="AF35" s="17"/>
      <c r="AG35" s="49"/>
      <c r="AH35" s="89"/>
      <c r="AJ35" s="180">
        <f>IF(Input!P34&lt;&gt;"",Input!P34,"")</f>
        <v>1</v>
      </c>
      <c r="AK35" s="173">
        <f>IF(Input!Q34&lt;&gt;"",Input!Q34,"")</f>
        <v>560</v>
      </c>
      <c r="AL35" s="188"/>
      <c r="AM35" s="106"/>
      <c r="AN35" s="106"/>
      <c r="AO35" s="106"/>
      <c r="AP35" s="106"/>
      <c r="AQ35"/>
      <c r="AR35"/>
      <c r="AS35"/>
      <c r="AT35" s="109"/>
      <c r="AY35" s="178"/>
    </row>
    <row r="36" spans="1:51" ht="16" customHeight="1" x14ac:dyDescent="0.35">
      <c r="A36" s="87"/>
      <c r="B36" s="42">
        <f t="shared" si="0"/>
        <v>1</v>
      </c>
      <c r="C36" s="29">
        <f t="shared" si="8"/>
        <v>21</v>
      </c>
      <c r="D36" s="29">
        <f t="shared" si="1"/>
        <v>390</v>
      </c>
      <c r="E36" s="30"/>
      <c r="F36" s="29" t="str">
        <f t="shared" si="2"/>
        <v/>
      </c>
      <c r="G36" s="29" t="str">
        <f t="shared" si="9"/>
        <v/>
      </c>
      <c r="H36" s="31" t="str">
        <f t="shared" si="3"/>
        <v/>
      </c>
      <c r="I36" s="30"/>
      <c r="J36" s="29" t="str">
        <f t="shared" si="4"/>
        <v/>
      </c>
      <c r="K36" s="29" t="str">
        <f t="shared" si="10"/>
        <v/>
      </c>
      <c r="L36" s="31" t="str">
        <f t="shared" si="5"/>
        <v/>
      </c>
      <c r="M36" s="31"/>
      <c r="N36" s="29" t="str">
        <f t="shared" si="6"/>
        <v/>
      </c>
      <c r="O36" s="29" t="str">
        <f t="shared" si="11"/>
        <v/>
      </c>
      <c r="P36" s="43" t="str">
        <f t="shared" si="7"/>
        <v/>
      </c>
      <c r="Q36" s="89"/>
      <c r="R36" s="87"/>
      <c r="S36" s="22"/>
      <c r="T36" s="16"/>
      <c r="U36" s="16"/>
      <c r="V36" s="16"/>
      <c r="W36" s="15"/>
      <c r="X36" s="15"/>
      <c r="Y36" s="16"/>
      <c r="Z36" s="15"/>
      <c r="AA36" s="16"/>
      <c r="AB36" s="15"/>
      <c r="AC36" s="16"/>
      <c r="AD36" s="16"/>
      <c r="AE36" s="16"/>
      <c r="AF36" s="16"/>
      <c r="AG36" s="23"/>
      <c r="AH36" s="89"/>
      <c r="AJ36" s="180">
        <f>IF(Input!P35&lt;&gt;"",Input!P35,"")</f>
        <v>1</v>
      </c>
      <c r="AK36" s="173">
        <f>IF(Input!Q35&lt;&gt;"",Input!Q35,"")</f>
        <v>580</v>
      </c>
      <c r="AL36" s="188"/>
      <c r="AM36" s="105"/>
      <c r="AN36" s="105"/>
      <c r="AQ36" s="109"/>
      <c r="AR36" s="109"/>
      <c r="AT36"/>
      <c r="AY36" s="178"/>
    </row>
    <row r="37" spans="1:51" ht="16" customHeight="1" thickBot="1" x14ac:dyDescent="0.35">
      <c r="A37" s="87"/>
      <c r="B37" s="42">
        <f t="shared" si="0"/>
        <v>1</v>
      </c>
      <c r="C37" s="29">
        <f t="shared" si="8"/>
        <v>22</v>
      </c>
      <c r="D37" s="29">
        <f t="shared" si="1"/>
        <v>410</v>
      </c>
      <c r="E37" s="30"/>
      <c r="F37" s="29" t="str">
        <f t="shared" si="2"/>
        <v/>
      </c>
      <c r="G37" s="29" t="str">
        <f t="shared" si="9"/>
        <v/>
      </c>
      <c r="H37" s="31" t="str">
        <f t="shared" si="3"/>
        <v/>
      </c>
      <c r="I37" s="30"/>
      <c r="J37" s="29" t="str">
        <f t="shared" si="4"/>
        <v/>
      </c>
      <c r="K37" s="29" t="str">
        <f t="shared" si="10"/>
        <v/>
      </c>
      <c r="L37" s="31" t="str">
        <f t="shared" si="5"/>
        <v/>
      </c>
      <c r="M37" s="31"/>
      <c r="N37" s="29" t="str">
        <f t="shared" si="6"/>
        <v/>
      </c>
      <c r="O37" s="29" t="str">
        <f t="shared" si="11"/>
        <v/>
      </c>
      <c r="P37" s="43" t="str">
        <f t="shared" si="7"/>
        <v/>
      </c>
      <c r="Q37" s="89"/>
      <c r="R37" s="87"/>
      <c r="S37" s="362" t="s">
        <v>23</v>
      </c>
      <c r="T37" s="363"/>
      <c r="U37" s="363"/>
      <c r="V37" s="363"/>
      <c r="W37" s="363"/>
      <c r="X37" s="363"/>
      <c r="Y37" s="363"/>
      <c r="Z37" s="363"/>
      <c r="AA37" s="363"/>
      <c r="AB37" s="363"/>
      <c r="AC37" s="363"/>
      <c r="AD37" s="363"/>
      <c r="AE37" s="363"/>
      <c r="AF37" s="363"/>
      <c r="AG37" s="364"/>
      <c r="AH37" s="89"/>
      <c r="AJ37" s="180">
        <f>IF(Input!P36&lt;&gt;"",Input!P36,"")</f>
        <v>1</v>
      </c>
      <c r="AK37" s="173">
        <f>IF(Input!Q36&lt;&gt;"",Input!Q36,"")</f>
        <v>600</v>
      </c>
      <c r="AY37" s="178"/>
    </row>
    <row r="38" spans="1:51" ht="16" customHeight="1" thickBot="1" x14ac:dyDescent="0.35">
      <c r="A38" s="87"/>
      <c r="B38" s="42">
        <f t="shared" si="0"/>
        <v>1</v>
      </c>
      <c r="C38" s="29">
        <f t="shared" si="8"/>
        <v>23</v>
      </c>
      <c r="D38" s="29">
        <f t="shared" si="1"/>
        <v>420</v>
      </c>
      <c r="E38" s="30"/>
      <c r="F38" s="29" t="str">
        <f t="shared" si="2"/>
        <v/>
      </c>
      <c r="G38" s="29" t="str">
        <f t="shared" si="9"/>
        <v/>
      </c>
      <c r="H38" s="31" t="str">
        <f t="shared" si="3"/>
        <v/>
      </c>
      <c r="I38" s="30"/>
      <c r="J38" s="29" t="str">
        <f t="shared" si="4"/>
        <v/>
      </c>
      <c r="K38" s="29" t="str">
        <f t="shared" si="10"/>
        <v/>
      </c>
      <c r="L38" s="31" t="str">
        <f t="shared" si="5"/>
        <v/>
      </c>
      <c r="M38" s="31"/>
      <c r="N38" s="29" t="str">
        <f t="shared" si="6"/>
        <v/>
      </c>
      <c r="O38" s="29" t="str">
        <f t="shared" si="11"/>
        <v/>
      </c>
      <c r="P38" s="43" t="str">
        <f t="shared" si="7"/>
        <v/>
      </c>
      <c r="Q38" s="89"/>
      <c r="R38" s="87"/>
      <c r="S38" s="365" t="s">
        <v>24</v>
      </c>
      <c r="T38" s="366"/>
      <c r="U38" s="366"/>
      <c r="V38" s="366"/>
      <c r="W38" s="367"/>
      <c r="X38" s="368" t="s">
        <v>25</v>
      </c>
      <c r="Y38" s="369"/>
      <c r="Z38" s="368" t="s">
        <v>26</v>
      </c>
      <c r="AA38" s="369"/>
      <c r="AB38" s="365" t="s">
        <v>27</v>
      </c>
      <c r="AC38" s="367"/>
      <c r="AD38" s="370" t="s">
        <v>28</v>
      </c>
      <c r="AE38" s="371"/>
      <c r="AF38" s="368" t="s">
        <v>29</v>
      </c>
      <c r="AG38" s="369"/>
      <c r="AH38" s="89"/>
      <c r="AJ38" s="180">
        <f>IF(Input!P37&lt;&gt;"",Input!P37,"")</f>
        <v>1</v>
      </c>
      <c r="AK38" s="173">
        <f>IF(Input!Q37&lt;&gt;"",Input!Q37,"")</f>
        <v>640</v>
      </c>
      <c r="AL38" s="181"/>
      <c r="AM38" s="347" t="s">
        <v>43</v>
      </c>
      <c r="AN38" s="348"/>
      <c r="AO38" s="181"/>
      <c r="AQ38" s="349"/>
      <c r="AR38" s="349"/>
      <c r="AS38" s="349"/>
      <c r="AY38" s="178"/>
    </row>
    <row r="39" spans="1:51" ht="16" customHeight="1" x14ac:dyDescent="0.3">
      <c r="A39" s="87"/>
      <c r="B39" s="42">
        <f t="shared" si="0"/>
        <v>1</v>
      </c>
      <c r="C39" s="29">
        <f t="shared" si="8"/>
        <v>24</v>
      </c>
      <c r="D39" s="29">
        <f t="shared" si="1"/>
        <v>440</v>
      </c>
      <c r="E39" s="30"/>
      <c r="F39" s="29" t="str">
        <f t="shared" si="2"/>
        <v/>
      </c>
      <c r="G39" s="29" t="str">
        <f t="shared" si="9"/>
        <v/>
      </c>
      <c r="H39" s="31" t="str">
        <f t="shared" si="3"/>
        <v/>
      </c>
      <c r="I39" s="30"/>
      <c r="J39" s="29" t="str">
        <f t="shared" si="4"/>
        <v/>
      </c>
      <c r="K39" s="29" t="str">
        <f t="shared" si="10"/>
        <v/>
      </c>
      <c r="L39" s="31" t="str">
        <f t="shared" si="5"/>
        <v/>
      </c>
      <c r="M39" s="31"/>
      <c r="N39" s="29" t="str">
        <f t="shared" si="6"/>
        <v/>
      </c>
      <c r="O39" s="29" t="str">
        <f t="shared" si="11"/>
        <v/>
      </c>
      <c r="P39" s="43" t="str">
        <f t="shared" si="7"/>
        <v/>
      </c>
      <c r="Q39" s="89"/>
      <c r="R39" s="87"/>
      <c r="S39" s="290"/>
      <c r="T39" s="291"/>
      <c r="U39" s="291"/>
      <c r="V39" s="291"/>
      <c r="W39" s="292"/>
      <c r="X39" s="350" t="s">
        <v>30</v>
      </c>
      <c r="Y39" s="351"/>
      <c r="Z39" s="350" t="s">
        <v>30</v>
      </c>
      <c r="AA39" s="351"/>
      <c r="AB39" s="290" t="s">
        <v>30</v>
      </c>
      <c r="AC39" s="292"/>
      <c r="AD39" s="352" t="s">
        <v>32</v>
      </c>
      <c r="AE39" s="353"/>
      <c r="AF39" s="290" t="s">
        <v>31</v>
      </c>
      <c r="AG39" s="292"/>
      <c r="AH39" s="89"/>
      <c r="AJ39" s="180">
        <f>IF(Input!P38&lt;&gt;"",Input!P38,"")</f>
        <v>1</v>
      </c>
      <c r="AK39" s="173">
        <f>IF(Input!Q38&lt;&gt;"",Input!Q38,"")</f>
        <v>680</v>
      </c>
      <c r="AL39" s="181"/>
      <c r="AM39" s="233">
        <v>15</v>
      </c>
      <c r="AN39" s="234">
        <v>280</v>
      </c>
      <c r="AO39" s="181"/>
      <c r="AQ39" s="239"/>
      <c r="AR39" s="239"/>
      <c r="AS39" s="239"/>
      <c r="AY39" s="178"/>
    </row>
    <row r="40" spans="1:51" ht="16" customHeight="1" x14ac:dyDescent="0.3">
      <c r="A40" s="87"/>
      <c r="B40" s="42">
        <f t="shared" si="0"/>
        <v>1</v>
      </c>
      <c r="C40" s="29">
        <f t="shared" si="8"/>
        <v>25</v>
      </c>
      <c r="D40" s="29">
        <f t="shared" si="1"/>
        <v>460</v>
      </c>
      <c r="E40" s="30"/>
      <c r="F40" s="29" t="str">
        <f t="shared" si="2"/>
        <v/>
      </c>
      <c r="G40" s="29" t="str">
        <f t="shared" si="9"/>
        <v/>
      </c>
      <c r="H40" s="31" t="str">
        <f t="shared" si="3"/>
        <v/>
      </c>
      <c r="I40" s="30"/>
      <c r="J40" s="29" t="str">
        <f t="shared" si="4"/>
        <v/>
      </c>
      <c r="K40" s="29" t="str">
        <f t="shared" si="10"/>
        <v/>
      </c>
      <c r="L40" s="31" t="str">
        <f t="shared" si="5"/>
        <v/>
      </c>
      <c r="M40" s="31"/>
      <c r="N40" s="29" t="str">
        <f t="shared" si="6"/>
        <v/>
      </c>
      <c r="O40" s="29" t="str">
        <f t="shared" si="11"/>
        <v/>
      </c>
      <c r="P40" s="43" t="str">
        <f t="shared" si="7"/>
        <v/>
      </c>
      <c r="Q40" s="89"/>
      <c r="R40" s="87"/>
      <c r="S40" s="336" t="str">
        <f t="shared" ref="S40:S52" si="12">IF(AM40&lt;&gt;"","Layer "&amp;(ROW(AM40)-ROW($AM$40)+1),"")</f>
        <v>Layer 1</v>
      </c>
      <c r="T40" s="337"/>
      <c r="U40" s="337"/>
      <c r="V40" s="337"/>
      <c r="W40" s="338"/>
      <c r="X40" s="339">
        <f>AN39</f>
        <v>280</v>
      </c>
      <c r="Y40" s="340"/>
      <c r="Z40" s="341">
        <f t="shared" ref="Z40:Z52" si="13">IF(AN40&lt;&gt;"", AN40,"")</f>
        <v>380</v>
      </c>
      <c r="AA40" s="342"/>
      <c r="AB40" s="336">
        <f>IF(S40&lt;&gt;"", Z40-X40,"")</f>
        <v>100</v>
      </c>
      <c r="AC40" s="338"/>
      <c r="AD40" s="343">
        <f t="shared" ref="AD40:AD52" si="14">IF(S40&lt;&gt;"", AM40-AM39,"")</f>
        <v>5</v>
      </c>
      <c r="AE40" s="344"/>
      <c r="AF40" s="345">
        <f t="shared" ref="AF40:AF52" si="15">IF(S40&lt;&gt;"", 10^($AA$35+$AB$35*LOG10(AB40/AD40)),"")</f>
        <v>12.729498510374203</v>
      </c>
      <c r="AG40" s="346"/>
      <c r="AH40" s="89"/>
      <c r="AJ40" s="180">
        <f>IF(Input!P39&lt;&gt;"",Input!P39,"")</f>
        <v>1</v>
      </c>
      <c r="AK40" s="173">
        <f>IF(Input!Q39&lt;&gt;"",Input!Q39,"")</f>
        <v>720</v>
      </c>
      <c r="AL40" s="181"/>
      <c r="AM40" s="235">
        <v>20</v>
      </c>
      <c r="AN40" s="236">
        <v>380</v>
      </c>
      <c r="AO40" s="181"/>
      <c r="AY40" s="178"/>
    </row>
    <row r="41" spans="1:51" ht="16" customHeight="1" x14ac:dyDescent="0.3">
      <c r="A41" s="87"/>
      <c r="B41" s="42">
        <f t="shared" si="0"/>
        <v>1</v>
      </c>
      <c r="C41" s="29">
        <f t="shared" si="8"/>
        <v>26</v>
      </c>
      <c r="D41" s="29">
        <f t="shared" si="1"/>
        <v>480</v>
      </c>
      <c r="E41" s="30"/>
      <c r="F41" s="29" t="str">
        <f t="shared" si="2"/>
        <v/>
      </c>
      <c r="G41" s="29" t="str">
        <f t="shared" si="9"/>
        <v/>
      </c>
      <c r="H41" s="31" t="str">
        <f t="shared" si="3"/>
        <v/>
      </c>
      <c r="I41" s="30"/>
      <c r="J41" s="29" t="str">
        <f t="shared" si="4"/>
        <v/>
      </c>
      <c r="K41" s="29" t="str">
        <f t="shared" si="10"/>
        <v/>
      </c>
      <c r="L41" s="31" t="str">
        <f t="shared" si="5"/>
        <v/>
      </c>
      <c r="M41" s="31"/>
      <c r="N41" s="29" t="str">
        <f t="shared" si="6"/>
        <v/>
      </c>
      <c r="O41" s="29" t="str">
        <f t="shared" si="11"/>
        <v/>
      </c>
      <c r="P41" s="43" t="str">
        <f t="shared" si="7"/>
        <v/>
      </c>
      <c r="Q41" s="89"/>
      <c r="R41" s="87"/>
      <c r="S41" s="325" t="str">
        <f t="shared" si="12"/>
        <v>Layer 2</v>
      </c>
      <c r="T41" s="326"/>
      <c r="U41" s="326"/>
      <c r="V41" s="326"/>
      <c r="W41" s="327"/>
      <c r="X41" s="319">
        <f t="shared" ref="X41:X52" si="16">IF(AN41&lt;&gt;"", Z40,"")</f>
        <v>380</v>
      </c>
      <c r="Y41" s="320"/>
      <c r="Z41" s="319">
        <f t="shared" si="13"/>
        <v>460</v>
      </c>
      <c r="AA41" s="320"/>
      <c r="AB41" s="325">
        <f>IF(S41&lt;&gt;"", Z41-X41,"")</f>
        <v>80</v>
      </c>
      <c r="AC41" s="327"/>
      <c r="AD41" s="334">
        <f t="shared" si="14"/>
        <v>5</v>
      </c>
      <c r="AE41" s="335"/>
      <c r="AF41" s="332">
        <f t="shared" si="15"/>
        <v>16.115551721784744</v>
      </c>
      <c r="AG41" s="333"/>
      <c r="AH41" s="89"/>
      <c r="AJ41" s="180">
        <f>IF(Input!P40&lt;&gt;"",Input!P40,"")</f>
        <v>1</v>
      </c>
      <c r="AK41" s="173">
        <f>IF(Input!Q40&lt;&gt;"",Input!Q40,"")</f>
        <v>760</v>
      </c>
      <c r="AL41" s="181"/>
      <c r="AM41" s="235">
        <v>25</v>
      </c>
      <c r="AN41" s="236">
        <v>460</v>
      </c>
      <c r="AO41" s="181"/>
      <c r="AY41" s="178"/>
    </row>
    <row r="42" spans="1:51" ht="16" customHeight="1" x14ac:dyDescent="0.3">
      <c r="A42" s="87"/>
      <c r="B42" s="42">
        <f t="shared" si="0"/>
        <v>1</v>
      </c>
      <c r="C42" s="29">
        <f t="shared" si="8"/>
        <v>27</v>
      </c>
      <c r="D42" s="29">
        <f t="shared" si="1"/>
        <v>495</v>
      </c>
      <c r="E42" s="30"/>
      <c r="F42" s="29" t="str">
        <f t="shared" si="2"/>
        <v/>
      </c>
      <c r="G42" s="29" t="str">
        <f t="shared" si="9"/>
        <v/>
      </c>
      <c r="H42" s="31" t="str">
        <f t="shared" si="3"/>
        <v/>
      </c>
      <c r="I42" s="30"/>
      <c r="J42" s="29" t="str">
        <f t="shared" si="4"/>
        <v/>
      </c>
      <c r="K42" s="29" t="str">
        <f t="shared" si="10"/>
        <v/>
      </c>
      <c r="L42" s="31" t="str">
        <f t="shared" si="5"/>
        <v/>
      </c>
      <c r="M42" s="31"/>
      <c r="N42" s="29" t="str">
        <f t="shared" si="6"/>
        <v/>
      </c>
      <c r="O42" s="29" t="str">
        <f t="shared" si="11"/>
        <v/>
      </c>
      <c r="P42" s="43" t="str">
        <f t="shared" si="7"/>
        <v/>
      </c>
      <c r="Q42" s="89"/>
      <c r="R42" s="87"/>
      <c r="S42" s="325" t="str">
        <f t="shared" si="12"/>
        <v>Layer 3</v>
      </c>
      <c r="T42" s="326"/>
      <c r="U42" s="326"/>
      <c r="V42" s="326"/>
      <c r="W42" s="327"/>
      <c r="X42" s="319">
        <f t="shared" si="16"/>
        <v>460</v>
      </c>
      <c r="Y42" s="320"/>
      <c r="Z42" s="319">
        <f t="shared" si="13"/>
        <v>600</v>
      </c>
      <c r="AA42" s="320"/>
      <c r="AB42" s="325">
        <f>IF(S42&lt;&gt;"", Z42-X42,"")</f>
        <v>140</v>
      </c>
      <c r="AC42" s="327"/>
      <c r="AD42" s="334">
        <f t="shared" si="14"/>
        <v>8</v>
      </c>
      <c r="AE42" s="335"/>
      <c r="AF42" s="332">
        <f t="shared" si="15"/>
        <v>14.659149788991025</v>
      </c>
      <c r="AG42" s="333"/>
      <c r="AH42" s="89"/>
      <c r="AJ42" s="180">
        <f>IF(Input!P41&lt;&gt;"",Input!P41,"")</f>
        <v>1</v>
      </c>
      <c r="AK42" s="173">
        <f>IF(Input!Q41&lt;&gt;"",Input!Q41,"")</f>
        <v>790</v>
      </c>
      <c r="AL42" s="181"/>
      <c r="AM42" s="235">
        <v>33</v>
      </c>
      <c r="AN42" s="236">
        <v>600</v>
      </c>
      <c r="AO42" s="181"/>
      <c r="AY42" s="178"/>
    </row>
    <row r="43" spans="1:51" ht="16" customHeight="1" x14ac:dyDescent="0.3">
      <c r="A43" s="87"/>
      <c r="B43" s="42">
        <f t="shared" si="0"/>
        <v>1</v>
      </c>
      <c r="C43" s="29">
        <f t="shared" si="8"/>
        <v>28</v>
      </c>
      <c r="D43" s="29">
        <f t="shared" si="1"/>
        <v>510</v>
      </c>
      <c r="E43" s="30"/>
      <c r="F43" s="29" t="str">
        <f t="shared" si="2"/>
        <v/>
      </c>
      <c r="G43" s="29" t="str">
        <f t="shared" si="9"/>
        <v/>
      </c>
      <c r="H43" s="31" t="str">
        <f t="shared" si="3"/>
        <v/>
      </c>
      <c r="I43" s="30"/>
      <c r="J43" s="29" t="str">
        <f t="shared" si="4"/>
        <v/>
      </c>
      <c r="K43" s="29" t="str">
        <f t="shared" si="10"/>
        <v/>
      </c>
      <c r="L43" s="31" t="str">
        <f t="shared" si="5"/>
        <v/>
      </c>
      <c r="M43" s="31"/>
      <c r="N43" s="29" t="str">
        <f t="shared" si="6"/>
        <v/>
      </c>
      <c r="O43" s="29" t="str">
        <f t="shared" si="11"/>
        <v/>
      </c>
      <c r="P43" s="43" t="str">
        <f t="shared" si="7"/>
        <v/>
      </c>
      <c r="Q43" s="89"/>
      <c r="R43" s="87"/>
      <c r="S43" s="325" t="str">
        <f>IF(AM43&lt;&gt;"","Layer "&amp;(ROW(AM43)-ROW($AM$40)+1),"")</f>
        <v>Layer 4</v>
      </c>
      <c r="T43" s="326"/>
      <c r="U43" s="326"/>
      <c r="V43" s="326"/>
      <c r="W43" s="327"/>
      <c r="X43" s="319">
        <f t="shared" si="16"/>
        <v>600</v>
      </c>
      <c r="Y43" s="320"/>
      <c r="Z43" s="319">
        <f t="shared" si="13"/>
        <v>830</v>
      </c>
      <c r="AA43" s="320"/>
      <c r="AB43" s="325">
        <f t="shared" ref="AB43:AB51" si="17">IF(S43&lt;&gt;"", Z43-X43,"")</f>
        <v>230</v>
      </c>
      <c r="AC43" s="327"/>
      <c r="AD43" s="334">
        <f>IF(S43&lt;&gt;"", AM43-AM42,"")</f>
        <v>6</v>
      </c>
      <c r="AE43" s="335"/>
      <c r="AF43" s="332">
        <f t="shared" si="15"/>
        <v>6.3996990131696103</v>
      </c>
      <c r="AG43" s="333"/>
      <c r="AH43" s="89"/>
      <c r="AJ43" s="180">
        <f>IF(Input!P42&lt;&gt;"",Input!P42,"")</f>
        <v>1</v>
      </c>
      <c r="AK43" s="173">
        <f>IF(Input!Q42&lt;&gt;"",Input!Q42,"")</f>
        <v>830</v>
      </c>
      <c r="AL43" s="181"/>
      <c r="AM43" s="235">
        <v>39</v>
      </c>
      <c r="AN43" s="236">
        <v>830</v>
      </c>
      <c r="AO43" s="181"/>
      <c r="AY43" s="178"/>
    </row>
    <row r="44" spans="1:51" ht="16" customHeight="1" x14ac:dyDescent="0.3">
      <c r="A44" s="87"/>
      <c r="B44" s="42">
        <f t="shared" si="0"/>
        <v>1</v>
      </c>
      <c r="C44" s="29">
        <f t="shared" si="8"/>
        <v>29</v>
      </c>
      <c r="D44" s="29">
        <f t="shared" si="1"/>
        <v>525</v>
      </c>
      <c r="E44" s="30"/>
      <c r="F44" s="29" t="str">
        <f t="shared" si="2"/>
        <v/>
      </c>
      <c r="G44" s="29" t="str">
        <f t="shared" si="9"/>
        <v/>
      </c>
      <c r="H44" s="31" t="str">
        <f t="shared" si="3"/>
        <v/>
      </c>
      <c r="I44" s="30"/>
      <c r="J44" s="29" t="str">
        <f t="shared" si="4"/>
        <v/>
      </c>
      <c r="K44" s="29" t="str">
        <f t="shared" si="10"/>
        <v/>
      </c>
      <c r="L44" s="31" t="str">
        <f t="shared" si="5"/>
        <v/>
      </c>
      <c r="M44" s="31"/>
      <c r="N44" s="29" t="str">
        <f t="shared" si="6"/>
        <v/>
      </c>
      <c r="O44" s="29" t="str">
        <f t="shared" si="11"/>
        <v/>
      </c>
      <c r="P44" s="43" t="str">
        <f t="shared" si="7"/>
        <v/>
      </c>
      <c r="Q44" s="89"/>
      <c r="R44" s="87"/>
      <c r="S44" s="325" t="str">
        <f>IF(AM44&lt;&gt;"","Layer "&amp;(ROW(AM44)-ROW($AM$40)+1),"")</f>
        <v>Layer 5</v>
      </c>
      <c r="T44" s="326"/>
      <c r="U44" s="326"/>
      <c r="V44" s="326"/>
      <c r="W44" s="327"/>
      <c r="X44" s="319">
        <f t="shared" si="16"/>
        <v>830</v>
      </c>
      <c r="Y44" s="320"/>
      <c r="Z44" s="319">
        <f t="shared" si="13"/>
        <v>940</v>
      </c>
      <c r="AA44" s="320"/>
      <c r="AB44" s="325">
        <f t="shared" si="17"/>
        <v>110</v>
      </c>
      <c r="AC44" s="327"/>
      <c r="AD44" s="334">
        <f>IF(S44&lt;&gt;"", AM44-AM43,"")</f>
        <v>3</v>
      </c>
      <c r="AE44" s="335"/>
      <c r="AF44" s="332">
        <f t="shared" si="15"/>
        <v>6.7075682141945023</v>
      </c>
      <c r="AG44" s="333"/>
      <c r="AH44" s="89"/>
      <c r="AJ44" s="180">
        <f>IF(Input!P43&lt;&gt;"",Input!P43,"")</f>
        <v>1</v>
      </c>
      <c r="AK44" s="173">
        <f>IF(Input!Q43&lt;&gt;"",Input!Q43,"")</f>
        <v>860</v>
      </c>
      <c r="AL44" s="181"/>
      <c r="AM44" s="235">
        <v>42</v>
      </c>
      <c r="AN44" s="236">
        <v>940</v>
      </c>
      <c r="AO44" s="181"/>
      <c r="AY44" s="178"/>
    </row>
    <row r="45" spans="1:51" ht="16" customHeight="1" x14ac:dyDescent="0.3">
      <c r="A45" s="87"/>
      <c r="B45" s="42">
        <f t="shared" si="0"/>
        <v>1</v>
      </c>
      <c r="C45" s="29">
        <f t="shared" si="8"/>
        <v>30</v>
      </c>
      <c r="D45" s="29">
        <f t="shared" si="1"/>
        <v>540</v>
      </c>
      <c r="E45" s="30"/>
      <c r="F45" s="29" t="str">
        <f t="shared" si="2"/>
        <v/>
      </c>
      <c r="G45" s="29" t="str">
        <f t="shared" si="9"/>
        <v/>
      </c>
      <c r="H45" s="31" t="str">
        <f t="shared" si="3"/>
        <v/>
      </c>
      <c r="I45" s="30"/>
      <c r="J45" s="29" t="str">
        <f t="shared" si="4"/>
        <v/>
      </c>
      <c r="K45" s="29" t="str">
        <f t="shared" si="10"/>
        <v/>
      </c>
      <c r="L45" s="31" t="str">
        <f t="shared" si="5"/>
        <v/>
      </c>
      <c r="M45" s="31"/>
      <c r="N45" s="29" t="str">
        <f t="shared" si="6"/>
        <v/>
      </c>
      <c r="O45" s="29" t="str">
        <f t="shared" si="11"/>
        <v/>
      </c>
      <c r="P45" s="43" t="str">
        <f t="shared" si="7"/>
        <v/>
      </c>
      <c r="Q45" s="89"/>
      <c r="R45" s="87"/>
      <c r="S45" s="325" t="str">
        <f t="shared" si="12"/>
        <v>Layer 6</v>
      </c>
      <c r="T45" s="326"/>
      <c r="U45" s="326"/>
      <c r="V45" s="326"/>
      <c r="W45" s="327"/>
      <c r="X45" s="319">
        <f t="shared" si="16"/>
        <v>940</v>
      </c>
      <c r="Y45" s="320"/>
      <c r="Z45" s="319">
        <f t="shared" si="13"/>
        <v>960</v>
      </c>
      <c r="AA45" s="320"/>
      <c r="AB45" s="325">
        <f t="shared" si="17"/>
        <v>20</v>
      </c>
      <c r="AC45" s="327"/>
      <c r="AD45" s="334">
        <f>IF(S45&lt;&gt;"", AM45-AM44,"")</f>
        <v>1</v>
      </c>
      <c r="AE45" s="335"/>
      <c r="AF45" s="332">
        <f t="shared" si="15"/>
        <v>12.729498510374203</v>
      </c>
      <c r="AG45" s="333"/>
      <c r="AH45" s="89"/>
      <c r="AJ45" s="180">
        <f>IF(Input!P44&lt;&gt;"",Input!P44,"")</f>
        <v>1</v>
      </c>
      <c r="AK45" s="173">
        <f>IF(Input!Q44&lt;&gt;"",Input!Q44,"")</f>
        <v>900</v>
      </c>
      <c r="AL45" s="181"/>
      <c r="AM45" s="235">
        <v>43</v>
      </c>
      <c r="AN45" s="236">
        <v>960</v>
      </c>
      <c r="AO45" s="181"/>
      <c r="AY45" s="178"/>
    </row>
    <row r="46" spans="1:51" ht="16" customHeight="1" x14ac:dyDescent="0.3">
      <c r="A46" s="87"/>
      <c r="B46" s="42">
        <f t="shared" si="0"/>
        <v>1</v>
      </c>
      <c r="C46" s="29">
        <f t="shared" si="8"/>
        <v>31</v>
      </c>
      <c r="D46" s="29">
        <f t="shared" si="1"/>
        <v>560</v>
      </c>
      <c r="E46" s="30"/>
      <c r="F46" s="29" t="str">
        <f t="shared" si="2"/>
        <v/>
      </c>
      <c r="G46" s="29" t="str">
        <f t="shared" si="9"/>
        <v/>
      </c>
      <c r="H46" s="31" t="str">
        <f t="shared" si="3"/>
        <v/>
      </c>
      <c r="I46" s="30"/>
      <c r="J46" s="29" t="str">
        <f t="shared" si="4"/>
        <v/>
      </c>
      <c r="K46" s="29" t="str">
        <f t="shared" si="10"/>
        <v/>
      </c>
      <c r="L46" s="31" t="str">
        <f t="shared" si="5"/>
        <v/>
      </c>
      <c r="M46" s="31"/>
      <c r="N46" s="29" t="str">
        <f t="shared" si="6"/>
        <v/>
      </c>
      <c r="O46" s="29" t="str">
        <f t="shared" si="11"/>
        <v/>
      </c>
      <c r="P46" s="43" t="str">
        <f t="shared" si="7"/>
        <v/>
      </c>
      <c r="Q46" s="89"/>
      <c r="R46" s="87"/>
      <c r="S46" s="325" t="str">
        <f t="shared" si="12"/>
        <v/>
      </c>
      <c r="T46" s="326"/>
      <c r="U46" s="326"/>
      <c r="V46" s="326"/>
      <c r="W46" s="327"/>
      <c r="X46" s="319" t="str">
        <f t="shared" si="16"/>
        <v/>
      </c>
      <c r="Y46" s="320"/>
      <c r="Z46" s="319" t="str">
        <f t="shared" si="13"/>
        <v/>
      </c>
      <c r="AA46" s="320"/>
      <c r="AB46" s="325" t="str">
        <f t="shared" si="17"/>
        <v/>
      </c>
      <c r="AC46" s="327"/>
      <c r="AD46" s="334" t="str">
        <f t="shared" si="14"/>
        <v/>
      </c>
      <c r="AE46" s="335"/>
      <c r="AF46" s="332" t="str">
        <f t="shared" si="15"/>
        <v/>
      </c>
      <c r="AG46" s="333"/>
      <c r="AH46" s="89"/>
      <c r="AJ46" s="180">
        <f>IF(Input!P45&lt;&gt;"",Input!P45,"")</f>
        <v>1</v>
      </c>
      <c r="AK46" s="173">
        <f>IF(Input!Q45&lt;&gt;"",Input!Q45,"")</f>
        <v>940</v>
      </c>
      <c r="AL46" s="229"/>
      <c r="AM46" s="235"/>
      <c r="AN46" s="236"/>
      <c r="AO46" s="229"/>
      <c r="AY46" s="178"/>
    </row>
    <row r="47" spans="1:51" ht="16" customHeight="1" x14ac:dyDescent="0.3">
      <c r="A47" s="87"/>
      <c r="B47" s="42">
        <f t="shared" si="0"/>
        <v>1</v>
      </c>
      <c r="C47" s="29">
        <f t="shared" si="8"/>
        <v>32</v>
      </c>
      <c r="D47" s="29">
        <f t="shared" si="1"/>
        <v>580</v>
      </c>
      <c r="E47" s="30"/>
      <c r="F47" s="29" t="str">
        <f t="shared" si="2"/>
        <v/>
      </c>
      <c r="G47" s="29" t="str">
        <f t="shared" si="9"/>
        <v/>
      </c>
      <c r="H47" s="31" t="str">
        <f t="shared" si="3"/>
        <v/>
      </c>
      <c r="I47" s="30"/>
      <c r="J47" s="29" t="str">
        <f t="shared" si="4"/>
        <v/>
      </c>
      <c r="K47" s="29" t="str">
        <f t="shared" si="10"/>
        <v/>
      </c>
      <c r="L47" s="31" t="str">
        <f t="shared" si="5"/>
        <v/>
      </c>
      <c r="M47" s="31"/>
      <c r="N47" s="29" t="str">
        <f t="shared" si="6"/>
        <v/>
      </c>
      <c r="O47" s="29" t="str">
        <f t="shared" si="11"/>
        <v/>
      </c>
      <c r="P47" s="43" t="str">
        <f t="shared" si="7"/>
        <v/>
      </c>
      <c r="Q47" s="89"/>
      <c r="R47" s="87"/>
      <c r="S47" s="325" t="str">
        <f t="shared" si="12"/>
        <v/>
      </c>
      <c r="T47" s="326"/>
      <c r="U47" s="326"/>
      <c r="V47" s="326"/>
      <c r="W47" s="327"/>
      <c r="X47" s="319" t="str">
        <f t="shared" si="16"/>
        <v/>
      </c>
      <c r="Y47" s="320"/>
      <c r="Z47" s="319" t="str">
        <f t="shared" si="13"/>
        <v/>
      </c>
      <c r="AA47" s="320"/>
      <c r="AB47" s="325" t="str">
        <f t="shared" si="17"/>
        <v/>
      </c>
      <c r="AC47" s="327"/>
      <c r="AD47" s="334" t="str">
        <f t="shared" si="14"/>
        <v/>
      </c>
      <c r="AE47" s="335"/>
      <c r="AF47" s="332" t="str">
        <f t="shared" si="15"/>
        <v/>
      </c>
      <c r="AG47" s="333"/>
      <c r="AH47" s="89"/>
      <c r="AJ47" s="180">
        <f>IF(Input!P46&lt;&gt;"",Input!P46,"")</f>
        <v>1</v>
      </c>
      <c r="AK47" s="173">
        <f>IF(Input!Q46&lt;&gt;"",Input!Q46,"")</f>
        <v>960</v>
      </c>
      <c r="AL47" s="230"/>
      <c r="AM47" s="235"/>
      <c r="AN47" s="236"/>
      <c r="AO47" s="230"/>
      <c r="AY47" s="178"/>
    </row>
    <row r="48" spans="1:51" ht="16" customHeight="1" x14ac:dyDescent="0.3">
      <c r="A48" s="87"/>
      <c r="B48" s="42">
        <f t="shared" si="0"/>
        <v>1</v>
      </c>
      <c r="C48" s="29">
        <f t="shared" si="8"/>
        <v>33</v>
      </c>
      <c r="D48" s="29">
        <f t="shared" si="1"/>
        <v>600</v>
      </c>
      <c r="E48" s="30"/>
      <c r="F48" s="29" t="str">
        <f t="shared" si="2"/>
        <v/>
      </c>
      <c r="G48" s="29" t="str">
        <f t="shared" si="9"/>
        <v/>
      </c>
      <c r="H48" s="31" t="str">
        <f t="shared" si="3"/>
        <v/>
      </c>
      <c r="I48" s="30"/>
      <c r="J48" s="29" t="str">
        <f t="shared" si="4"/>
        <v/>
      </c>
      <c r="K48" s="29" t="str">
        <f t="shared" si="10"/>
        <v/>
      </c>
      <c r="L48" s="31" t="str">
        <f t="shared" si="5"/>
        <v/>
      </c>
      <c r="M48" s="31"/>
      <c r="N48" s="29" t="str">
        <f t="shared" si="6"/>
        <v/>
      </c>
      <c r="O48" s="29" t="str">
        <f t="shared" si="11"/>
        <v/>
      </c>
      <c r="P48" s="43" t="str">
        <f t="shared" si="7"/>
        <v/>
      </c>
      <c r="Q48" s="89"/>
      <c r="R48" s="87"/>
      <c r="S48" s="325" t="str">
        <f t="shared" si="12"/>
        <v/>
      </c>
      <c r="T48" s="326"/>
      <c r="U48" s="326"/>
      <c r="V48" s="326"/>
      <c r="W48" s="327"/>
      <c r="X48" s="319" t="str">
        <f t="shared" si="16"/>
        <v/>
      </c>
      <c r="Y48" s="320"/>
      <c r="Z48" s="319" t="str">
        <f t="shared" si="13"/>
        <v/>
      </c>
      <c r="AA48" s="320"/>
      <c r="AB48" s="325" t="str">
        <f t="shared" si="17"/>
        <v/>
      </c>
      <c r="AC48" s="327"/>
      <c r="AD48" s="334" t="str">
        <f t="shared" si="14"/>
        <v/>
      </c>
      <c r="AE48" s="335"/>
      <c r="AF48" s="332" t="str">
        <f t="shared" si="15"/>
        <v/>
      </c>
      <c r="AG48" s="333"/>
      <c r="AH48" s="89"/>
      <c r="AJ48" s="180" t="str">
        <f>IF(Input!P47&lt;&gt;"",Input!P47,"")</f>
        <v/>
      </c>
      <c r="AK48" s="173" t="str">
        <f>IF(Input!Q47&lt;&gt;"",Input!Q47,"")</f>
        <v/>
      </c>
      <c r="AL48" s="232"/>
      <c r="AM48" s="235"/>
      <c r="AN48" s="236"/>
      <c r="AO48" s="231"/>
      <c r="AY48" s="178"/>
    </row>
    <row r="49" spans="1:51" ht="16" customHeight="1" x14ac:dyDescent="0.3">
      <c r="A49" s="87"/>
      <c r="B49" s="42">
        <f t="shared" si="0"/>
        <v>1</v>
      </c>
      <c r="C49" s="29">
        <f t="shared" si="8"/>
        <v>34</v>
      </c>
      <c r="D49" s="29">
        <f t="shared" si="1"/>
        <v>640</v>
      </c>
      <c r="E49" s="30"/>
      <c r="F49" s="29" t="str">
        <f t="shared" si="2"/>
        <v/>
      </c>
      <c r="G49" s="29" t="str">
        <f t="shared" si="9"/>
        <v/>
      </c>
      <c r="H49" s="31" t="str">
        <f t="shared" si="3"/>
        <v/>
      </c>
      <c r="I49" s="30"/>
      <c r="J49" s="29" t="str">
        <f t="shared" si="4"/>
        <v/>
      </c>
      <c r="K49" s="29" t="str">
        <f t="shared" si="10"/>
        <v/>
      </c>
      <c r="L49" s="31" t="str">
        <f t="shared" si="5"/>
        <v/>
      </c>
      <c r="M49" s="31"/>
      <c r="N49" s="29" t="str">
        <f t="shared" si="6"/>
        <v/>
      </c>
      <c r="O49" s="29" t="str">
        <f t="shared" si="11"/>
        <v/>
      </c>
      <c r="P49" s="43" t="str">
        <f t="shared" si="7"/>
        <v/>
      </c>
      <c r="Q49" s="89"/>
      <c r="R49" s="87"/>
      <c r="S49" s="325" t="str">
        <f t="shared" si="12"/>
        <v/>
      </c>
      <c r="T49" s="326"/>
      <c r="U49" s="326"/>
      <c r="V49" s="326"/>
      <c r="W49" s="327"/>
      <c r="X49" s="319" t="str">
        <f t="shared" si="16"/>
        <v/>
      </c>
      <c r="Y49" s="320"/>
      <c r="Z49" s="328" t="str">
        <f t="shared" si="13"/>
        <v/>
      </c>
      <c r="AA49" s="329"/>
      <c r="AB49" s="330" t="str">
        <f t="shared" si="17"/>
        <v/>
      </c>
      <c r="AC49" s="331"/>
      <c r="AD49" s="321" t="str">
        <f t="shared" si="14"/>
        <v/>
      </c>
      <c r="AE49" s="322"/>
      <c r="AF49" s="332" t="str">
        <f t="shared" si="15"/>
        <v/>
      </c>
      <c r="AG49" s="333"/>
      <c r="AH49" s="89"/>
      <c r="AJ49" s="180" t="str">
        <f>IF(Input!P48&lt;&gt;"",Input!P48,"")</f>
        <v/>
      </c>
      <c r="AK49" s="173" t="str">
        <f>IF(Input!Q48&lt;&gt;"",Input!Q48,"")</f>
        <v/>
      </c>
      <c r="AL49" s="232"/>
      <c r="AM49" s="235"/>
      <c r="AN49" s="236"/>
      <c r="AO49" s="232"/>
      <c r="AY49" s="178"/>
    </row>
    <row r="50" spans="1:51" ht="16" customHeight="1" x14ac:dyDescent="0.3">
      <c r="A50" s="87"/>
      <c r="B50" s="42">
        <f t="shared" si="0"/>
        <v>1</v>
      </c>
      <c r="C50" s="29">
        <f t="shared" si="8"/>
        <v>35</v>
      </c>
      <c r="D50" s="29">
        <f t="shared" si="1"/>
        <v>680</v>
      </c>
      <c r="E50" s="30"/>
      <c r="F50" s="29" t="str">
        <f t="shared" si="2"/>
        <v/>
      </c>
      <c r="G50" s="29" t="str">
        <f t="shared" si="9"/>
        <v/>
      </c>
      <c r="H50" s="31" t="str">
        <f t="shared" si="3"/>
        <v/>
      </c>
      <c r="I50" s="30"/>
      <c r="J50" s="29" t="str">
        <f t="shared" si="4"/>
        <v/>
      </c>
      <c r="K50" s="29" t="str">
        <f t="shared" si="10"/>
        <v/>
      </c>
      <c r="L50" s="31" t="str">
        <f t="shared" si="5"/>
        <v/>
      </c>
      <c r="M50" s="31"/>
      <c r="N50" s="29" t="str">
        <f t="shared" si="6"/>
        <v/>
      </c>
      <c r="O50" s="29" t="str">
        <f t="shared" si="11"/>
        <v/>
      </c>
      <c r="P50" s="43" t="str">
        <f t="shared" si="7"/>
        <v/>
      </c>
      <c r="Q50" s="89"/>
      <c r="R50" s="87"/>
      <c r="S50" s="325" t="str">
        <f t="shared" si="12"/>
        <v/>
      </c>
      <c r="T50" s="326"/>
      <c r="U50" s="326"/>
      <c r="V50" s="326"/>
      <c r="W50" s="327"/>
      <c r="X50" s="319" t="str">
        <f t="shared" si="16"/>
        <v/>
      </c>
      <c r="Y50" s="320"/>
      <c r="Z50" s="328" t="str">
        <f t="shared" si="13"/>
        <v/>
      </c>
      <c r="AA50" s="329"/>
      <c r="AB50" s="330" t="str">
        <f t="shared" si="17"/>
        <v/>
      </c>
      <c r="AC50" s="331"/>
      <c r="AD50" s="321" t="str">
        <f t="shared" si="14"/>
        <v/>
      </c>
      <c r="AE50" s="322"/>
      <c r="AF50" s="332" t="str">
        <f t="shared" si="15"/>
        <v/>
      </c>
      <c r="AG50" s="333"/>
      <c r="AH50" s="89"/>
      <c r="AJ50" s="180" t="str">
        <f>IF(Input!P49&lt;&gt;"",Input!P49,"")</f>
        <v/>
      </c>
      <c r="AK50" s="173" t="str">
        <f>IF(Input!Q49&lt;&gt;"",Input!Q49,"")</f>
        <v/>
      </c>
      <c r="AL50" s="232"/>
      <c r="AM50" s="235"/>
      <c r="AN50" s="236"/>
      <c r="AO50" s="231"/>
      <c r="AY50" s="178"/>
    </row>
    <row r="51" spans="1:51" ht="16" customHeight="1" x14ac:dyDescent="0.3">
      <c r="A51" s="87"/>
      <c r="B51" s="42">
        <f t="shared" si="0"/>
        <v>1</v>
      </c>
      <c r="C51" s="29">
        <f t="shared" si="8"/>
        <v>36</v>
      </c>
      <c r="D51" s="29">
        <f t="shared" si="1"/>
        <v>720</v>
      </c>
      <c r="E51" s="30"/>
      <c r="F51" s="29" t="str">
        <f t="shared" si="2"/>
        <v/>
      </c>
      <c r="G51" s="29" t="str">
        <f t="shared" si="9"/>
        <v/>
      </c>
      <c r="H51" s="31" t="str">
        <f t="shared" si="3"/>
        <v/>
      </c>
      <c r="I51" s="30"/>
      <c r="J51" s="29" t="str">
        <f t="shared" si="4"/>
        <v/>
      </c>
      <c r="K51" s="29" t="str">
        <f t="shared" si="10"/>
        <v/>
      </c>
      <c r="L51" s="31" t="str">
        <f t="shared" si="5"/>
        <v/>
      </c>
      <c r="M51" s="31"/>
      <c r="N51" s="29" t="str">
        <f t="shared" si="6"/>
        <v/>
      </c>
      <c r="O51" s="29" t="str">
        <f t="shared" si="11"/>
        <v/>
      </c>
      <c r="P51" s="43" t="str">
        <f t="shared" si="7"/>
        <v/>
      </c>
      <c r="Q51" s="89"/>
      <c r="R51" s="87"/>
      <c r="S51" s="316" t="str">
        <f t="shared" si="12"/>
        <v/>
      </c>
      <c r="T51" s="317"/>
      <c r="U51" s="317"/>
      <c r="V51" s="317"/>
      <c r="W51" s="318"/>
      <c r="X51" s="319" t="str">
        <f t="shared" si="16"/>
        <v/>
      </c>
      <c r="Y51" s="320"/>
      <c r="Z51" s="319" t="str">
        <f t="shared" si="13"/>
        <v/>
      </c>
      <c r="AA51" s="320"/>
      <c r="AB51" s="316" t="str">
        <f t="shared" si="17"/>
        <v/>
      </c>
      <c r="AC51" s="318"/>
      <c r="AD51" s="321" t="str">
        <f t="shared" si="14"/>
        <v/>
      </c>
      <c r="AE51" s="322"/>
      <c r="AF51" s="323" t="str">
        <f t="shared" si="15"/>
        <v/>
      </c>
      <c r="AG51" s="324"/>
      <c r="AH51" s="89"/>
      <c r="AJ51" s="180" t="str">
        <f>IF(Input!P50&lt;&gt;"",Input!P50,"")</f>
        <v/>
      </c>
      <c r="AK51" s="173" t="str">
        <f>IF(Input!Q50&lt;&gt;"",Input!Q50,"")</f>
        <v/>
      </c>
      <c r="AL51" s="232"/>
      <c r="AM51" s="235"/>
      <c r="AN51" s="236"/>
      <c r="AO51" s="231"/>
      <c r="AY51" s="178"/>
    </row>
    <row r="52" spans="1:51" ht="16" customHeight="1" thickBot="1" x14ac:dyDescent="0.35">
      <c r="A52" s="87"/>
      <c r="B52" s="42">
        <f t="shared" si="0"/>
        <v>1</v>
      </c>
      <c r="C52" s="29">
        <f t="shared" si="8"/>
        <v>37</v>
      </c>
      <c r="D52" s="29">
        <f t="shared" si="1"/>
        <v>760</v>
      </c>
      <c r="E52" s="30"/>
      <c r="F52" s="29" t="str">
        <f t="shared" si="2"/>
        <v/>
      </c>
      <c r="G52" s="29" t="str">
        <f t="shared" si="9"/>
        <v/>
      </c>
      <c r="H52" s="31" t="str">
        <f t="shared" si="3"/>
        <v/>
      </c>
      <c r="I52" s="30"/>
      <c r="J52" s="29" t="str">
        <f t="shared" si="4"/>
        <v/>
      </c>
      <c r="K52" s="29" t="str">
        <f t="shared" si="10"/>
        <v/>
      </c>
      <c r="L52" s="31" t="str">
        <f t="shared" si="5"/>
        <v/>
      </c>
      <c r="M52" s="31"/>
      <c r="N52" s="29" t="str">
        <f t="shared" si="6"/>
        <v/>
      </c>
      <c r="O52" s="29" t="str">
        <f t="shared" si="11"/>
        <v/>
      </c>
      <c r="P52" s="43" t="str">
        <f t="shared" si="7"/>
        <v/>
      </c>
      <c r="Q52" s="89"/>
      <c r="R52" s="87"/>
      <c r="S52" s="316" t="str">
        <f t="shared" si="12"/>
        <v/>
      </c>
      <c r="T52" s="317"/>
      <c r="U52" s="317"/>
      <c r="V52" s="317"/>
      <c r="W52" s="318"/>
      <c r="X52" s="319" t="str">
        <f t="shared" si="16"/>
        <v/>
      </c>
      <c r="Y52" s="320"/>
      <c r="Z52" s="319" t="str">
        <f t="shared" si="13"/>
        <v/>
      </c>
      <c r="AA52" s="320"/>
      <c r="AB52" s="316" t="str">
        <f>IF(S52&lt;&gt;"", Z52-X52,"")</f>
        <v/>
      </c>
      <c r="AC52" s="318"/>
      <c r="AD52" s="321" t="str">
        <f t="shared" si="14"/>
        <v/>
      </c>
      <c r="AE52" s="322"/>
      <c r="AF52" s="323" t="str">
        <f t="shared" si="15"/>
        <v/>
      </c>
      <c r="AG52" s="324"/>
      <c r="AH52" s="89"/>
      <c r="AJ52" s="180" t="str">
        <f>IF(Input!P51&lt;&gt;"",Input!P51,"")</f>
        <v/>
      </c>
      <c r="AK52" s="173" t="str">
        <f>IF(Input!Q51&lt;&gt;"",Input!Q51,"")</f>
        <v/>
      </c>
      <c r="AM52" s="237"/>
      <c r="AN52" s="238"/>
      <c r="AY52" s="178"/>
    </row>
    <row r="53" spans="1:51" ht="16" customHeight="1" x14ac:dyDescent="0.3">
      <c r="A53" s="87"/>
      <c r="B53" s="42">
        <f t="shared" si="0"/>
        <v>1</v>
      </c>
      <c r="C53" s="29">
        <f t="shared" si="8"/>
        <v>38</v>
      </c>
      <c r="D53" s="29">
        <f t="shared" si="1"/>
        <v>790</v>
      </c>
      <c r="E53" s="30"/>
      <c r="F53" s="29" t="str">
        <f t="shared" si="2"/>
        <v/>
      </c>
      <c r="G53" s="29" t="str">
        <f t="shared" si="9"/>
        <v/>
      </c>
      <c r="H53" s="31" t="str">
        <f t="shared" si="3"/>
        <v/>
      </c>
      <c r="I53" s="30"/>
      <c r="J53" s="29" t="str">
        <f t="shared" si="4"/>
        <v/>
      </c>
      <c r="K53" s="29" t="str">
        <f t="shared" si="10"/>
        <v/>
      </c>
      <c r="L53" s="31" t="str">
        <f t="shared" si="5"/>
        <v/>
      </c>
      <c r="M53" s="31"/>
      <c r="N53" s="29" t="str">
        <f t="shared" si="6"/>
        <v/>
      </c>
      <c r="O53" s="29" t="str">
        <f t="shared" si="11"/>
        <v/>
      </c>
      <c r="P53" s="43" t="str">
        <f t="shared" si="7"/>
        <v/>
      </c>
      <c r="Q53" s="89"/>
      <c r="R53" s="87"/>
      <c r="S53" s="50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51"/>
      <c r="AH53" s="89"/>
      <c r="AJ53" s="180" t="str">
        <f>IF(Input!P52&lt;&gt;"",Input!P52,"")</f>
        <v/>
      </c>
      <c r="AK53" s="173" t="str">
        <f>IF(Input!Q52&lt;&gt;"",Input!Q52,"")</f>
        <v/>
      </c>
      <c r="AY53" s="178"/>
    </row>
    <row r="54" spans="1:51" ht="16" customHeight="1" x14ac:dyDescent="0.3">
      <c r="A54" s="87"/>
      <c r="B54" s="44">
        <f t="shared" si="0"/>
        <v>1</v>
      </c>
      <c r="C54" s="35">
        <f t="shared" si="8"/>
        <v>39</v>
      </c>
      <c r="D54" s="35">
        <f t="shared" si="1"/>
        <v>830</v>
      </c>
      <c r="E54" s="35"/>
      <c r="F54" s="35" t="str">
        <f t="shared" si="2"/>
        <v/>
      </c>
      <c r="G54" s="35" t="str">
        <f t="shared" si="9"/>
        <v/>
      </c>
      <c r="H54" s="36" t="str">
        <f t="shared" si="3"/>
        <v/>
      </c>
      <c r="I54" s="37"/>
      <c r="J54" s="35" t="str">
        <f t="shared" si="4"/>
        <v/>
      </c>
      <c r="K54" s="35" t="str">
        <f t="shared" si="10"/>
        <v/>
      </c>
      <c r="L54" s="36" t="str">
        <f t="shared" si="5"/>
        <v/>
      </c>
      <c r="M54" s="36"/>
      <c r="N54" s="35" t="str">
        <f t="shared" si="6"/>
        <v/>
      </c>
      <c r="O54" s="35" t="str">
        <f t="shared" si="11"/>
        <v/>
      </c>
      <c r="P54" s="45" t="str">
        <f t="shared" si="7"/>
        <v/>
      </c>
      <c r="Q54" s="89"/>
      <c r="R54" s="87"/>
      <c r="S54" s="287" t="s">
        <v>51</v>
      </c>
      <c r="T54" s="288"/>
      <c r="U54" s="288"/>
      <c r="V54" s="288"/>
      <c r="W54" s="288"/>
      <c r="X54" s="288"/>
      <c r="Y54" s="288"/>
      <c r="Z54" s="288"/>
      <c r="AA54" s="288"/>
      <c r="AB54" s="288"/>
      <c r="AC54" s="288"/>
      <c r="AD54" s="288"/>
      <c r="AE54" s="288"/>
      <c r="AF54" s="289">
        <f>U73</f>
        <v>10</v>
      </c>
      <c r="AG54" s="289"/>
      <c r="AH54" s="89"/>
      <c r="AJ54" s="180" t="str">
        <f>IF(Input!P53&lt;&gt;"",Input!P53,"")</f>
        <v/>
      </c>
      <c r="AK54" s="173" t="str">
        <f>IF(Input!Q53&lt;&gt;"",Input!Q53,"")</f>
        <v/>
      </c>
      <c r="AY54" s="178"/>
    </row>
    <row r="55" spans="1:51" ht="33" customHeight="1" x14ac:dyDescent="0.3">
      <c r="A55" s="87"/>
      <c r="B55" s="290"/>
      <c r="C55" s="291"/>
      <c r="D55" s="291"/>
      <c r="E55" s="291"/>
      <c r="F55" s="291"/>
      <c r="G55" s="291"/>
      <c r="H55" s="291"/>
      <c r="I55" s="291"/>
      <c r="J55" s="291"/>
      <c r="K55" s="291"/>
      <c r="L55" s="291"/>
      <c r="M55" s="291"/>
      <c r="N55" s="291"/>
      <c r="O55" s="291"/>
      <c r="P55" s="292"/>
      <c r="Q55" s="89"/>
      <c r="R55" s="87"/>
      <c r="S55" s="24"/>
      <c r="T55" s="7"/>
      <c r="U55" s="7"/>
      <c r="V55" s="7"/>
      <c r="W55" s="7"/>
      <c r="X55" s="7"/>
      <c r="Y55" s="7"/>
      <c r="Z55" s="8"/>
      <c r="AA55" s="8"/>
      <c r="AB55" s="7"/>
      <c r="AC55" s="7"/>
      <c r="AD55" s="9"/>
      <c r="AE55" s="9"/>
      <c r="AF55" s="10"/>
      <c r="AG55" s="52"/>
      <c r="AH55" s="89"/>
      <c r="AJ55" s="180" t="str">
        <f>IF(Input!P54&lt;&gt;"",Input!P54,"")</f>
        <v/>
      </c>
      <c r="AK55" s="173" t="str">
        <f>IF(Input!Q54&lt;&gt;"",Input!Q54,"")</f>
        <v/>
      </c>
      <c r="AY55" s="178"/>
    </row>
    <row r="56" spans="1:51" ht="31.75" customHeight="1" thickBot="1" x14ac:dyDescent="0.35">
      <c r="A56" s="87"/>
      <c r="B56" s="293"/>
      <c r="C56" s="294"/>
      <c r="D56" s="295"/>
      <c r="E56" s="299" t="str">
        <f>Input!A12</f>
        <v>Contractor</v>
      </c>
      <c r="F56" s="300"/>
      <c r="G56" s="300"/>
      <c r="H56" s="300"/>
      <c r="I56" s="300"/>
      <c r="J56" s="301"/>
      <c r="K56" s="302" t="str">
        <f>Input!A17</f>
        <v>Consultant</v>
      </c>
      <c r="L56" s="303"/>
      <c r="M56" s="303"/>
      <c r="N56" s="303"/>
      <c r="O56" s="303"/>
      <c r="P56" s="304"/>
      <c r="Q56" s="89"/>
      <c r="R56" s="87"/>
      <c r="S56" s="305"/>
      <c r="T56" s="306"/>
      <c r="U56" s="307"/>
      <c r="V56" s="299" t="str">
        <f>E56</f>
        <v>Contractor</v>
      </c>
      <c r="W56" s="300"/>
      <c r="X56" s="300"/>
      <c r="Y56" s="300"/>
      <c r="Z56" s="300"/>
      <c r="AA56" s="301"/>
      <c r="AB56" s="299" t="str">
        <f>K56</f>
        <v>Consultant</v>
      </c>
      <c r="AC56" s="300"/>
      <c r="AD56" s="300"/>
      <c r="AE56" s="300"/>
      <c r="AF56" s="300"/>
      <c r="AG56" s="308"/>
      <c r="AH56" s="89"/>
      <c r="AJ56" s="180" t="str">
        <f>IF(Input!P55&lt;&gt;"",Input!P55,"")</f>
        <v/>
      </c>
      <c r="AK56" s="173" t="str">
        <f>IF(Input!Q55&lt;&gt;"",Input!Q55,"")</f>
        <v/>
      </c>
      <c r="AY56" s="178"/>
    </row>
    <row r="57" spans="1:51" ht="16.75" customHeight="1" x14ac:dyDescent="0.3">
      <c r="A57" s="87"/>
      <c r="B57" s="296"/>
      <c r="C57" s="297"/>
      <c r="D57" s="298"/>
      <c r="E57" s="309" t="str">
        <f>Input!B13</f>
        <v>Tested By</v>
      </c>
      <c r="F57" s="310"/>
      <c r="G57" s="311"/>
      <c r="H57" s="309" t="str">
        <f>Input!B15</f>
        <v>Checked By</v>
      </c>
      <c r="I57" s="310"/>
      <c r="J57" s="312"/>
      <c r="K57" s="313" t="str">
        <f>Input!B18</f>
        <v>Checked By / Witnessed By</v>
      </c>
      <c r="L57" s="314"/>
      <c r="M57" s="315"/>
      <c r="N57" s="309" t="str">
        <f>Input!B20</f>
        <v>Reviewed By</v>
      </c>
      <c r="O57" s="310"/>
      <c r="P57" s="311"/>
      <c r="Q57" s="89"/>
      <c r="R57" s="87"/>
      <c r="S57" s="296"/>
      <c r="T57" s="297"/>
      <c r="U57" s="298"/>
      <c r="V57" s="309" t="str">
        <f>E57</f>
        <v>Tested By</v>
      </c>
      <c r="W57" s="310"/>
      <c r="X57" s="311"/>
      <c r="Y57" s="309" t="str">
        <f>H57</f>
        <v>Checked By</v>
      </c>
      <c r="Z57" s="310"/>
      <c r="AA57" s="311"/>
      <c r="AB57" s="309" t="str">
        <f>K57</f>
        <v>Checked By / Witnessed By</v>
      </c>
      <c r="AC57" s="310"/>
      <c r="AD57" s="311"/>
      <c r="AE57" s="309" t="str">
        <f>N57</f>
        <v>Reviewed By</v>
      </c>
      <c r="AF57" s="310"/>
      <c r="AG57" s="311"/>
      <c r="AH57" s="89"/>
      <c r="AJ57" s="180" t="str">
        <f>IF(Input!P56&lt;&gt;"",Input!P56,"")</f>
        <v/>
      </c>
      <c r="AK57" s="173" t="str">
        <f>IF(Input!Q56&lt;&gt;"",Input!Q56,"")</f>
        <v/>
      </c>
      <c r="AY57" s="178"/>
    </row>
    <row r="58" spans="1:51" ht="20.5" customHeight="1" x14ac:dyDescent="0.3">
      <c r="A58" s="87"/>
      <c r="B58" s="285" t="s">
        <v>16</v>
      </c>
      <c r="C58" s="285"/>
      <c r="D58" s="285"/>
      <c r="E58" s="282" t="str">
        <f>Input!F13</f>
        <v>Enetr Name</v>
      </c>
      <c r="F58" s="282"/>
      <c r="G58" s="282"/>
      <c r="H58" s="286" t="str">
        <f>Input!F15</f>
        <v>Enter Name</v>
      </c>
      <c r="I58" s="286"/>
      <c r="J58" s="286"/>
      <c r="K58" s="282" t="str">
        <f>Input!F18</f>
        <v>Enter Name</v>
      </c>
      <c r="L58" s="282"/>
      <c r="M58" s="282"/>
      <c r="N58" s="282" t="str">
        <f>Input!F20</f>
        <v>Enetr Name</v>
      </c>
      <c r="O58" s="282"/>
      <c r="P58" s="282"/>
      <c r="Q58" s="89"/>
      <c r="R58" s="87"/>
      <c r="S58" s="285" t="str">
        <f>B58</f>
        <v xml:space="preserve">Name </v>
      </c>
      <c r="T58" s="285"/>
      <c r="U58" s="285"/>
      <c r="V58" s="282" t="str">
        <f>E58</f>
        <v>Enetr Name</v>
      </c>
      <c r="W58" s="282"/>
      <c r="X58" s="282"/>
      <c r="Y58" s="282" t="str">
        <f>H58</f>
        <v>Enter Name</v>
      </c>
      <c r="Z58" s="282"/>
      <c r="AA58" s="282"/>
      <c r="AB58" s="282" t="str">
        <f>K58</f>
        <v>Enter Name</v>
      </c>
      <c r="AC58" s="282"/>
      <c r="AD58" s="282"/>
      <c r="AE58" s="282" t="str">
        <f>N58</f>
        <v>Enetr Name</v>
      </c>
      <c r="AF58" s="282"/>
      <c r="AG58" s="282"/>
      <c r="AH58" s="89"/>
      <c r="AJ58" s="180" t="str">
        <f>IF(Input!P57&lt;&gt;"",Input!P57,"")</f>
        <v/>
      </c>
      <c r="AK58" s="173" t="str">
        <f>IF(Input!Q57&lt;&gt;"",Input!Q57,"")</f>
        <v/>
      </c>
      <c r="AY58" s="178"/>
    </row>
    <row r="59" spans="1:51" ht="22.75" customHeight="1" x14ac:dyDescent="0.3">
      <c r="A59" s="87"/>
      <c r="B59" s="284" t="s">
        <v>17</v>
      </c>
      <c r="C59" s="284"/>
      <c r="D59" s="284"/>
      <c r="E59" s="282" t="str">
        <f>Input!I13</f>
        <v>MT</v>
      </c>
      <c r="F59" s="282"/>
      <c r="G59" s="282"/>
      <c r="H59" s="282" t="str">
        <f>Input!I15</f>
        <v>ME</v>
      </c>
      <c r="I59" s="282"/>
      <c r="J59" s="282"/>
      <c r="K59" s="282" t="str">
        <f>Input!I18</f>
        <v>MT</v>
      </c>
      <c r="L59" s="282"/>
      <c r="M59" s="282"/>
      <c r="N59" s="282" t="str">
        <f>Input!I20</f>
        <v>ME</v>
      </c>
      <c r="O59" s="282"/>
      <c r="P59" s="282"/>
      <c r="Q59" s="89"/>
      <c r="R59" s="87"/>
      <c r="S59" s="284" t="str">
        <f>B59</f>
        <v xml:space="preserve">Designation </v>
      </c>
      <c r="T59" s="284"/>
      <c r="U59" s="284"/>
      <c r="V59" s="282" t="str">
        <f>E59</f>
        <v>MT</v>
      </c>
      <c r="W59" s="282"/>
      <c r="X59" s="282"/>
      <c r="Y59" s="282" t="str">
        <f>H59</f>
        <v>ME</v>
      </c>
      <c r="Z59" s="282"/>
      <c r="AA59" s="282"/>
      <c r="AB59" s="282" t="str">
        <f>K59</f>
        <v>MT</v>
      </c>
      <c r="AC59" s="282"/>
      <c r="AD59" s="282"/>
      <c r="AE59" s="282" t="str">
        <f>N59</f>
        <v>ME</v>
      </c>
      <c r="AF59" s="282"/>
      <c r="AG59" s="282"/>
      <c r="AH59" s="89"/>
      <c r="AJ59" s="180" t="str">
        <f>IF(Input!P58&lt;&gt;"",Input!P58,"")</f>
        <v/>
      </c>
      <c r="AK59" s="173" t="str">
        <f>IF(Input!Q58&lt;&gt;"",Input!Q58,"")</f>
        <v/>
      </c>
      <c r="AY59" s="178"/>
    </row>
    <row r="60" spans="1:51" ht="39.9" customHeight="1" x14ac:dyDescent="0.3">
      <c r="A60" s="87"/>
      <c r="B60" s="284" t="s">
        <v>20</v>
      </c>
      <c r="C60" s="284"/>
      <c r="D60" s="284"/>
      <c r="E60" s="282"/>
      <c r="F60" s="282"/>
      <c r="G60" s="282"/>
      <c r="H60" s="282"/>
      <c r="I60" s="282"/>
      <c r="J60" s="282"/>
      <c r="K60" s="282"/>
      <c r="L60" s="282"/>
      <c r="M60" s="282"/>
      <c r="N60" s="282"/>
      <c r="O60" s="282"/>
      <c r="P60" s="282"/>
      <c r="Q60" s="89"/>
      <c r="R60" s="87"/>
      <c r="S60" s="284" t="str">
        <f>B60</f>
        <v xml:space="preserve">Signature </v>
      </c>
      <c r="T60" s="284"/>
      <c r="U60" s="284"/>
      <c r="V60" s="282"/>
      <c r="W60" s="282"/>
      <c r="X60" s="282"/>
      <c r="Y60" s="282"/>
      <c r="Z60" s="282"/>
      <c r="AA60" s="282"/>
      <c r="AB60" s="282"/>
      <c r="AC60" s="282"/>
      <c r="AD60" s="282"/>
      <c r="AE60" s="282"/>
      <c r="AF60" s="282"/>
      <c r="AG60" s="282"/>
      <c r="AH60" s="89"/>
      <c r="AJ60" s="180" t="str">
        <f>IF(Input!P59&lt;&gt;"",Input!P59,"")</f>
        <v/>
      </c>
      <c r="AK60" s="173" t="str">
        <f>IF(Input!Q59&lt;&gt;"",Input!Q59,"")</f>
        <v/>
      </c>
      <c r="AY60" s="178"/>
    </row>
    <row r="61" spans="1:51" ht="37.4" customHeight="1" x14ac:dyDescent="0.3">
      <c r="A61" s="87"/>
      <c r="B61" s="284" t="s">
        <v>21</v>
      </c>
      <c r="C61" s="284"/>
      <c r="D61" s="284"/>
      <c r="E61" s="282"/>
      <c r="F61" s="282"/>
      <c r="G61" s="282"/>
      <c r="H61" s="282"/>
      <c r="I61" s="282"/>
      <c r="J61" s="282"/>
      <c r="K61" s="282"/>
      <c r="L61" s="282"/>
      <c r="M61" s="282"/>
      <c r="N61" s="282"/>
      <c r="O61" s="282"/>
      <c r="P61" s="282"/>
      <c r="Q61" s="89"/>
      <c r="R61" s="87"/>
      <c r="S61" s="284" t="str">
        <f>B61</f>
        <v xml:space="preserve">Date </v>
      </c>
      <c r="T61" s="284"/>
      <c r="U61" s="284"/>
      <c r="V61" s="282"/>
      <c r="W61" s="282"/>
      <c r="X61" s="282"/>
      <c r="Y61" s="282"/>
      <c r="Z61" s="282"/>
      <c r="AA61" s="282"/>
      <c r="AB61" s="282"/>
      <c r="AC61" s="282"/>
      <c r="AD61" s="282"/>
      <c r="AE61" s="282"/>
      <c r="AF61" s="282"/>
      <c r="AG61" s="282"/>
      <c r="AH61" s="89"/>
      <c r="AJ61" s="180" t="str">
        <f>IF(Input!P60&lt;&gt;"",Input!P60,"")</f>
        <v/>
      </c>
      <c r="AK61" s="173" t="str">
        <f>IF(Input!Q60&lt;&gt;"",Input!Q60,"")</f>
        <v/>
      </c>
      <c r="AY61" s="178"/>
    </row>
    <row r="62" spans="1:51" ht="11.5" customHeight="1" thickBot="1" x14ac:dyDescent="0.35">
      <c r="A62" s="90"/>
      <c r="B62" s="91"/>
      <c r="C62" s="91"/>
      <c r="D62" s="91"/>
      <c r="E62" s="91"/>
      <c r="F62" s="91"/>
      <c r="G62" s="91"/>
      <c r="H62" s="91"/>
      <c r="I62" s="91"/>
      <c r="J62" s="91"/>
      <c r="K62" s="91"/>
      <c r="L62" s="91"/>
      <c r="M62" s="91"/>
      <c r="N62" s="91"/>
      <c r="O62" s="91"/>
      <c r="P62" s="91"/>
      <c r="Q62" s="92"/>
      <c r="R62" s="90"/>
      <c r="S62" s="93"/>
      <c r="T62" s="93"/>
      <c r="U62" s="93"/>
      <c r="V62" s="93"/>
      <c r="W62" s="93"/>
      <c r="X62" s="93"/>
      <c r="Y62" s="93"/>
      <c r="Z62" s="93"/>
      <c r="AA62" s="93"/>
      <c r="AB62" s="93"/>
      <c r="AC62" s="93"/>
      <c r="AD62" s="93"/>
      <c r="AE62" s="93"/>
      <c r="AF62" s="93"/>
      <c r="AG62" s="93"/>
      <c r="AH62" s="94"/>
      <c r="AJ62" s="180" t="str">
        <f>IF(Input!P61&lt;&gt;"",Input!P61,"")</f>
        <v/>
      </c>
      <c r="AK62" s="173" t="str">
        <f>IF(Input!Q61&lt;&gt;"",Input!Q61,"")</f>
        <v/>
      </c>
      <c r="AY62" s="178"/>
    </row>
    <row r="63" spans="1:51" ht="14.5" x14ac:dyDescent="0.3">
      <c r="AJ63" s="180" t="str">
        <f>IF(Input!P62&lt;&gt;"",Input!P62,"")</f>
        <v/>
      </c>
      <c r="AK63" s="173" t="str">
        <f>IF(Input!Q62&lt;&gt;"",Input!Q62,"")</f>
        <v/>
      </c>
      <c r="AY63" s="178"/>
    </row>
    <row r="64" spans="1:51" ht="15" thickBot="1" x14ac:dyDescent="0.35">
      <c r="AJ64" s="180" t="str">
        <f>IF(Input!P63&lt;&gt;"",Input!P63,"")</f>
        <v/>
      </c>
      <c r="AK64" s="173" t="str">
        <f>IF(Input!Q63&lt;&gt;"",Input!Q63,"")</f>
        <v/>
      </c>
      <c r="AY64" s="178"/>
    </row>
    <row r="65" spans="2:51" ht="23.5" customHeight="1" thickBot="1" x14ac:dyDescent="0.35">
      <c r="B65" s="217"/>
      <c r="C65" s="218"/>
      <c r="D65" s="218"/>
      <c r="E65" s="218"/>
      <c r="F65" s="218"/>
      <c r="G65" s="218"/>
      <c r="H65" s="218"/>
      <c r="I65" s="218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19"/>
      <c r="U65" s="219"/>
      <c r="V65" s="219"/>
      <c r="W65" s="220"/>
      <c r="AJ65" s="180" t="str">
        <f>IF(Input!P64&lt;&gt;"",Input!P64,"")</f>
        <v/>
      </c>
      <c r="AK65" s="173" t="str">
        <f>IF(Input!Q64&lt;&gt;"",Input!Q64,"")</f>
        <v/>
      </c>
      <c r="AY65" s="178"/>
    </row>
    <row r="66" spans="2:51" ht="23" customHeight="1" thickBot="1" x14ac:dyDescent="0.35">
      <c r="B66" s="274" t="s">
        <v>33</v>
      </c>
      <c r="C66" s="274"/>
      <c r="D66" s="274"/>
      <c r="E66" s="221"/>
      <c r="F66" s="222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23"/>
      <c r="AJ66" s="180" t="str">
        <f>IF(Input!P65&lt;&gt;"",Input!P65,"")</f>
        <v/>
      </c>
      <c r="AK66" s="173" t="str">
        <f>IF(Input!Q65&lt;&gt;"",Input!Q65,"")</f>
        <v/>
      </c>
      <c r="AY66" s="178"/>
    </row>
    <row r="67" spans="2:51" ht="15" thickBot="1" x14ac:dyDescent="0.35">
      <c r="B67" s="207" t="s">
        <v>28</v>
      </c>
      <c r="C67" s="207" t="s">
        <v>34</v>
      </c>
      <c r="D67" s="207" t="s">
        <v>35</v>
      </c>
      <c r="E67" s="208"/>
      <c r="F67" s="208"/>
      <c r="G67" s="209"/>
      <c r="H67" s="21"/>
      <c r="I67" s="21"/>
      <c r="J67" s="21" t="s">
        <v>52</v>
      </c>
      <c r="K67" s="21"/>
      <c r="L67" s="224" t="s">
        <v>48</v>
      </c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23"/>
      <c r="AJ67" s="180" t="str">
        <f>IF(Input!P66&lt;&gt;"",Input!P66,"")</f>
        <v/>
      </c>
      <c r="AK67" s="173" t="str">
        <f>IF(Input!Q66&lt;&gt;"",Input!Q66,"")</f>
        <v/>
      </c>
      <c r="AY67" s="178"/>
    </row>
    <row r="68" spans="2:51" ht="15" thickBot="1" x14ac:dyDescent="0.35">
      <c r="B68" s="210">
        <f t="shared" ref="B68:B99" si="18">IF(AJ4&lt;&gt;"", AJ4, "")</f>
        <v>0</v>
      </c>
      <c r="C68" s="210">
        <f t="shared" ref="C68:C99" si="19">IF(AK4&lt;&gt;"", AK4, "")</f>
        <v>130</v>
      </c>
      <c r="D68" s="211">
        <v>0</v>
      </c>
      <c r="E68" s="212"/>
      <c r="F68" s="212"/>
      <c r="G68" s="213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23"/>
      <c r="AJ68" s="180" t="str">
        <f>IF(Input!P67&lt;&gt;"",Input!P67,"")</f>
        <v/>
      </c>
      <c r="AK68" s="173" t="str">
        <f>IF(Input!Q67&lt;&gt;"",Input!Q67,"")</f>
        <v/>
      </c>
      <c r="AY68" s="178"/>
    </row>
    <row r="69" spans="2:51" ht="15" thickBot="1" x14ac:dyDescent="0.4">
      <c r="B69" s="210">
        <f t="shared" si="18"/>
        <v>1</v>
      </c>
      <c r="C69" s="210">
        <f t="shared" si="19"/>
        <v>140</v>
      </c>
      <c r="D69" s="210">
        <f>IF(B69&lt;&gt;"", D68+B69,"")</f>
        <v>1</v>
      </c>
      <c r="E69" s="214"/>
      <c r="F69" s="212"/>
      <c r="G69" s="213"/>
      <c r="H69" s="21"/>
      <c r="I69" s="21"/>
      <c r="J69" s="283" t="s">
        <v>53</v>
      </c>
      <c r="K69" s="283"/>
      <c r="L69" s="283"/>
      <c r="M69" s="283"/>
      <c r="N69" s="21"/>
      <c r="O69" s="276" t="s">
        <v>55</v>
      </c>
      <c r="P69" s="276"/>
      <c r="Q69" s="276"/>
      <c r="R69" s="276"/>
      <c r="S69" s="276"/>
      <c r="T69" s="276"/>
      <c r="U69" s="275">
        <f>SUM(J70:M82)</f>
        <v>1459.3652057506158</v>
      </c>
      <c r="V69" s="275"/>
      <c r="W69" s="223"/>
      <c r="AJ69" s="180" t="str">
        <f>IF(Input!P68&lt;&gt;"",Input!P68,"")</f>
        <v/>
      </c>
      <c r="AK69" s="173" t="str">
        <f>IF(Input!Q68&lt;&gt;"",Input!Q68,"")</f>
        <v/>
      </c>
      <c r="AY69" s="178"/>
    </row>
    <row r="70" spans="2:51" ht="15" thickBot="1" x14ac:dyDescent="0.35">
      <c r="B70" s="210">
        <f t="shared" si="18"/>
        <v>1</v>
      </c>
      <c r="C70" s="210">
        <f t="shared" si="19"/>
        <v>150</v>
      </c>
      <c r="D70" s="210">
        <f t="shared" ref="D70:D133" si="20">IF(B70&lt;&gt;"", D69+B70,"")</f>
        <v>2</v>
      </c>
      <c r="E70" s="214"/>
      <c r="F70" s="214"/>
      <c r="G70" s="213"/>
      <c r="H70" s="21"/>
      <c r="I70" s="21"/>
      <c r="J70" s="275">
        <f>IF(S40&lt;&gt;"",AB40*POWER(AF40,1/3),"")</f>
        <v>233.49115395127043</v>
      </c>
      <c r="K70" s="275"/>
      <c r="L70" s="275"/>
      <c r="M70" s="275"/>
      <c r="N70" s="21"/>
      <c r="O70" s="21"/>
      <c r="P70" s="21"/>
      <c r="Q70" s="21"/>
      <c r="R70" s="21"/>
      <c r="S70" s="21"/>
      <c r="T70" s="21"/>
      <c r="U70" s="21"/>
      <c r="V70" s="21"/>
      <c r="W70" s="223"/>
      <c r="AJ70" s="180" t="str">
        <f>IF(Input!P69&lt;&gt;"",Input!P69,"")</f>
        <v/>
      </c>
      <c r="AK70" s="173" t="str">
        <f>IF(Input!Q69&lt;&gt;"",Input!Q69,"")</f>
        <v/>
      </c>
      <c r="AY70" s="178"/>
    </row>
    <row r="71" spans="2:51" ht="15" thickBot="1" x14ac:dyDescent="0.4">
      <c r="B71" s="210">
        <f t="shared" si="18"/>
        <v>1</v>
      </c>
      <c r="C71" s="210">
        <f t="shared" si="19"/>
        <v>160</v>
      </c>
      <c r="D71" s="210">
        <f t="shared" si="20"/>
        <v>3</v>
      </c>
      <c r="E71" s="214"/>
      <c r="F71" s="214"/>
      <c r="G71" s="213"/>
      <c r="H71" s="21"/>
      <c r="I71" s="21"/>
      <c r="J71" s="275">
        <f t="shared" ref="J71:J82" si="21">IF(S41&lt;&gt;"",AB41*POWER(AF41,1/3),"")</f>
        <v>202.07149122573938</v>
      </c>
      <c r="K71" s="275"/>
      <c r="L71" s="275"/>
      <c r="M71" s="275"/>
      <c r="N71" s="21"/>
      <c r="O71" s="276" t="s">
        <v>54</v>
      </c>
      <c r="P71" s="276"/>
      <c r="Q71" s="276"/>
      <c r="R71" s="276"/>
      <c r="S71" s="276"/>
      <c r="T71" s="276"/>
      <c r="U71" s="275">
        <f>SUM(AB40:AC52)</f>
        <v>680</v>
      </c>
      <c r="V71" s="275"/>
      <c r="W71" s="223"/>
      <c r="AJ71" s="180" t="str">
        <f>IF(Input!P70&lt;&gt;"",Input!P70,"")</f>
        <v/>
      </c>
      <c r="AK71" s="173" t="str">
        <f>IF(Input!Q70&lt;&gt;"",Input!Q70,"")</f>
        <v/>
      </c>
      <c r="AY71" s="178"/>
    </row>
    <row r="72" spans="2:51" ht="15" thickBot="1" x14ac:dyDescent="0.35">
      <c r="B72" s="210">
        <f t="shared" si="18"/>
        <v>1</v>
      </c>
      <c r="C72" s="210">
        <f t="shared" si="19"/>
        <v>170</v>
      </c>
      <c r="D72" s="210">
        <f t="shared" si="20"/>
        <v>4</v>
      </c>
      <c r="E72" s="214"/>
      <c r="F72" s="214"/>
      <c r="G72" s="213"/>
      <c r="H72" s="21"/>
      <c r="I72" s="21"/>
      <c r="J72" s="275">
        <f t="shared" si="21"/>
        <v>342.63439986786085</v>
      </c>
      <c r="K72" s="275"/>
      <c r="L72" s="275"/>
      <c r="M72" s="275"/>
      <c r="N72" s="21"/>
      <c r="O72" s="21"/>
      <c r="P72" s="21"/>
      <c r="Q72" s="21"/>
      <c r="R72" s="21"/>
      <c r="S72" s="21"/>
      <c r="T72" s="21"/>
      <c r="U72" s="21"/>
      <c r="V72" s="21"/>
      <c r="W72" s="223"/>
      <c r="AJ72" s="180" t="str">
        <f>IF(Input!P71&lt;&gt;"",Input!P71,"")</f>
        <v/>
      </c>
      <c r="AK72" s="173" t="str">
        <f>IF(Input!Q71&lt;&gt;"",Input!Q71,"")</f>
        <v/>
      </c>
      <c r="AY72" s="178"/>
    </row>
    <row r="73" spans="2:51" ht="15" customHeight="1" thickBot="1" x14ac:dyDescent="0.35">
      <c r="B73" s="210">
        <f t="shared" si="18"/>
        <v>1</v>
      </c>
      <c r="C73" s="210">
        <f t="shared" si="19"/>
        <v>180</v>
      </c>
      <c r="D73" s="210">
        <f t="shared" si="20"/>
        <v>5</v>
      </c>
      <c r="E73" s="214"/>
      <c r="F73" s="214"/>
      <c r="G73" s="213"/>
      <c r="H73" s="21"/>
      <c r="I73" s="21"/>
      <c r="J73" s="275">
        <f t="shared" si="21"/>
        <v>427.01947835544127</v>
      </c>
      <c r="K73" s="275"/>
      <c r="L73" s="275"/>
      <c r="M73" s="275"/>
      <c r="N73" s="21"/>
      <c r="O73" s="277" t="s">
        <v>56</v>
      </c>
      <c r="P73" s="278"/>
      <c r="Q73" s="278"/>
      <c r="R73" s="278"/>
      <c r="S73" s="278"/>
      <c r="T73" s="279"/>
      <c r="U73" s="280">
        <f>ROUND(POWER(U69/U71,3),0)</f>
        <v>10</v>
      </c>
      <c r="V73" s="281"/>
      <c r="W73" s="223"/>
      <c r="AJ73" s="180" t="str">
        <f>IF(Input!P72&lt;&gt;"",Input!P72,"")</f>
        <v/>
      </c>
      <c r="AK73" s="173" t="str">
        <f>IF(Input!Q72&lt;&gt;"",Input!Q72,"")</f>
        <v/>
      </c>
      <c r="AY73" s="178"/>
    </row>
    <row r="74" spans="2:51" ht="15" thickBot="1" x14ac:dyDescent="0.35">
      <c r="B74" s="210">
        <f t="shared" si="18"/>
        <v>1</v>
      </c>
      <c r="C74" s="210">
        <f t="shared" si="19"/>
        <v>190</v>
      </c>
      <c r="D74" s="210">
        <f t="shared" si="20"/>
        <v>6</v>
      </c>
      <c r="E74" s="214"/>
      <c r="F74" s="214"/>
      <c r="G74" s="213"/>
      <c r="H74" s="21"/>
      <c r="I74" s="21"/>
      <c r="J74" s="275">
        <f t="shared" si="21"/>
        <v>207.45045156005</v>
      </c>
      <c r="K74" s="275"/>
      <c r="L74" s="275"/>
      <c r="M74" s="275"/>
      <c r="N74" s="21"/>
      <c r="O74" s="21"/>
      <c r="P74" s="21"/>
      <c r="Q74" s="21"/>
      <c r="R74" s="21"/>
      <c r="S74" s="21"/>
      <c r="T74" s="21"/>
      <c r="U74" s="21"/>
      <c r="V74" s="21"/>
      <c r="W74" s="223"/>
      <c r="AJ74" s="180" t="str">
        <f>IF(Input!P73&lt;&gt;"",Input!P73,"")</f>
        <v/>
      </c>
      <c r="AK74" s="173" t="str">
        <f>IF(Input!Q73&lt;&gt;"",Input!Q73,"")</f>
        <v/>
      </c>
      <c r="AY74" s="178"/>
    </row>
    <row r="75" spans="2:51" ht="15" thickBot="1" x14ac:dyDescent="0.35">
      <c r="B75" s="210">
        <f t="shared" si="18"/>
        <v>1</v>
      </c>
      <c r="C75" s="210">
        <f t="shared" si="19"/>
        <v>200</v>
      </c>
      <c r="D75" s="210">
        <f t="shared" si="20"/>
        <v>7</v>
      </c>
      <c r="E75" s="214"/>
      <c r="F75" s="214"/>
      <c r="G75" s="213"/>
      <c r="H75" s="21"/>
      <c r="I75" s="21"/>
      <c r="J75" s="275">
        <f t="shared" si="21"/>
        <v>46.698230790254087</v>
      </c>
      <c r="K75" s="275"/>
      <c r="L75" s="275"/>
      <c r="M75" s="275"/>
      <c r="N75" s="21"/>
      <c r="O75" s="21"/>
      <c r="P75" s="21"/>
      <c r="Q75" s="21"/>
      <c r="R75" s="21"/>
      <c r="S75" s="21"/>
      <c r="T75" s="21"/>
      <c r="U75" s="21"/>
      <c r="V75" s="21"/>
      <c r="W75" s="223"/>
      <c r="AJ75" s="180" t="str">
        <f>IF(Input!P74&lt;&gt;"",Input!P74,"")</f>
        <v/>
      </c>
      <c r="AK75" s="173" t="str">
        <f>IF(Input!Q74&lt;&gt;"",Input!Q74,"")</f>
        <v/>
      </c>
      <c r="AY75" s="178"/>
    </row>
    <row r="76" spans="2:51" ht="15" thickBot="1" x14ac:dyDescent="0.35">
      <c r="B76" s="210">
        <f t="shared" si="18"/>
        <v>1</v>
      </c>
      <c r="C76" s="210">
        <f t="shared" si="19"/>
        <v>210</v>
      </c>
      <c r="D76" s="210">
        <f t="shared" si="20"/>
        <v>8</v>
      </c>
      <c r="E76" s="214"/>
      <c r="F76" s="214"/>
      <c r="G76" s="213"/>
      <c r="H76" s="21"/>
      <c r="I76" s="21"/>
      <c r="J76" s="275" t="str">
        <f t="shared" si="21"/>
        <v/>
      </c>
      <c r="K76" s="275"/>
      <c r="L76" s="275"/>
      <c r="M76" s="275"/>
      <c r="N76" s="21"/>
      <c r="O76" s="21"/>
      <c r="P76" s="21"/>
      <c r="Q76" s="21"/>
      <c r="R76" s="21"/>
      <c r="S76" s="21"/>
      <c r="T76" s="21"/>
      <c r="U76" s="21"/>
      <c r="V76" s="21"/>
      <c r="W76" s="223"/>
      <c r="AJ76" s="180" t="str">
        <f>IF(Input!P75&lt;&gt;"",Input!P75,"")</f>
        <v/>
      </c>
      <c r="AK76" s="173" t="str">
        <f>IF(Input!Q75&lt;&gt;"",Input!Q75,"")</f>
        <v/>
      </c>
      <c r="AY76" s="178"/>
    </row>
    <row r="77" spans="2:51" ht="15" thickBot="1" x14ac:dyDescent="0.35">
      <c r="B77" s="210">
        <f t="shared" si="18"/>
        <v>1</v>
      </c>
      <c r="C77" s="210">
        <f t="shared" si="19"/>
        <v>220</v>
      </c>
      <c r="D77" s="210">
        <f t="shared" si="20"/>
        <v>9</v>
      </c>
      <c r="E77" s="214"/>
      <c r="F77" s="214"/>
      <c r="G77" s="213"/>
      <c r="H77" s="21"/>
      <c r="I77" s="21"/>
      <c r="J77" s="275" t="str">
        <f t="shared" si="21"/>
        <v/>
      </c>
      <c r="K77" s="275"/>
      <c r="L77" s="275"/>
      <c r="M77" s="275"/>
      <c r="N77" s="21"/>
      <c r="O77" s="21"/>
      <c r="P77" s="21"/>
      <c r="Q77" s="21"/>
      <c r="R77" s="21"/>
      <c r="S77" s="21"/>
      <c r="T77" s="21"/>
      <c r="U77" s="21"/>
      <c r="V77" s="21"/>
      <c r="W77" s="223"/>
      <c r="AJ77" s="180" t="str">
        <f>IF(Input!P76&lt;&gt;"",Input!P76,"")</f>
        <v/>
      </c>
      <c r="AK77" s="173" t="str">
        <f>IF(Input!Q76&lt;&gt;"",Input!Q76,"")</f>
        <v/>
      </c>
      <c r="AY77" s="178"/>
    </row>
    <row r="78" spans="2:51" ht="15" thickBot="1" x14ac:dyDescent="0.35">
      <c r="B78" s="210">
        <f t="shared" si="18"/>
        <v>1</v>
      </c>
      <c r="C78" s="210">
        <f t="shared" si="19"/>
        <v>230</v>
      </c>
      <c r="D78" s="210">
        <f t="shared" si="20"/>
        <v>10</v>
      </c>
      <c r="E78" s="214"/>
      <c r="F78" s="214"/>
      <c r="G78" s="213"/>
      <c r="H78" s="21"/>
      <c r="I78" s="21"/>
      <c r="J78" s="275" t="str">
        <f t="shared" si="21"/>
        <v/>
      </c>
      <c r="K78" s="275"/>
      <c r="L78" s="275"/>
      <c r="M78" s="275"/>
      <c r="N78" s="21"/>
      <c r="O78" s="21"/>
      <c r="P78" s="21"/>
      <c r="Q78" s="21"/>
      <c r="R78" s="21"/>
      <c r="S78" s="21"/>
      <c r="T78" s="21"/>
      <c r="U78" s="21"/>
      <c r="V78" s="21"/>
      <c r="W78" s="223"/>
      <c r="AJ78" s="180" t="str">
        <f>IF(Input!P77&lt;&gt;"",Input!P77,"")</f>
        <v/>
      </c>
      <c r="AK78" s="173" t="str">
        <f>IF(Input!Q77&lt;&gt;"",Input!Q77,"")</f>
        <v/>
      </c>
      <c r="AY78" s="178"/>
    </row>
    <row r="79" spans="2:51" ht="15" thickBot="1" x14ac:dyDescent="0.35">
      <c r="B79" s="210">
        <f t="shared" si="18"/>
        <v>1</v>
      </c>
      <c r="C79" s="210">
        <f t="shared" si="19"/>
        <v>240</v>
      </c>
      <c r="D79" s="210">
        <f t="shared" si="20"/>
        <v>11</v>
      </c>
      <c r="E79" s="214"/>
      <c r="F79" s="214"/>
      <c r="G79" s="213"/>
      <c r="H79" s="21"/>
      <c r="I79" s="21"/>
      <c r="J79" s="275" t="str">
        <f t="shared" si="21"/>
        <v/>
      </c>
      <c r="K79" s="275"/>
      <c r="L79" s="275"/>
      <c r="M79" s="275"/>
      <c r="N79" s="21"/>
      <c r="O79" s="21"/>
      <c r="P79" s="21"/>
      <c r="Q79" s="21"/>
      <c r="R79" s="21"/>
      <c r="S79" s="21"/>
      <c r="T79" s="21"/>
      <c r="U79" s="21"/>
      <c r="V79" s="21"/>
      <c r="W79" s="223"/>
      <c r="AJ79" s="180" t="str">
        <f>IF(Input!P78&lt;&gt;"",Input!P78,"")</f>
        <v/>
      </c>
      <c r="AK79" s="173" t="str">
        <f>IF(Input!Q78&lt;&gt;"",Input!Q78,"")</f>
        <v/>
      </c>
      <c r="AY79" s="178"/>
    </row>
    <row r="80" spans="2:51" ht="15" thickBot="1" x14ac:dyDescent="0.35">
      <c r="B80" s="210">
        <f t="shared" si="18"/>
        <v>1</v>
      </c>
      <c r="C80" s="210">
        <f t="shared" si="19"/>
        <v>250</v>
      </c>
      <c r="D80" s="210">
        <f t="shared" si="20"/>
        <v>12</v>
      </c>
      <c r="E80" s="214"/>
      <c r="F80" s="214"/>
      <c r="G80" s="213"/>
      <c r="H80" s="21"/>
      <c r="I80" s="21"/>
      <c r="J80" s="275" t="str">
        <f t="shared" si="21"/>
        <v/>
      </c>
      <c r="K80" s="275"/>
      <c r="L80" s="275"/>
      <c r="M80" s="275"/>
      <c r="N80" s="21"/>
      <c r="O80" s="21"/>
      <c r="P80" s="21"/>
      <c r="Q80" s="21"/>
      <c r="R80" s="21"/>
      <c r="S80" s="21"/>
      <c r="T80" s="21"/>
      <c r="U80" s="21"/>
      <c r="V80" s="21"/>
      <c r="W80" s="223"/>
      <c r="AJ80" s="180" t="str">
        <f>IF(Input!P79&lt;&gt;"",Input!P79,"")</f>
        <v/>
      </c>
      <c r="AK80" s="173" t="str">
        <f>IF(Input!Q79&lt;&gt;"",Input!Q79,"")</f>
        <v/>
      </c>
      <c r="AY80" s="178"/>
    </row>
    <row r="81" spans="2:51" ht="15" thickBot="1" x14ac:dyDescent="0.35">
      <c r="B81" s="210">
        <f t="shared" si="18"/>
        <v>1</v>
      </c>
      <c r="C81" s="210">
        <f t="shared" si="19"/>
        <v>260</v>
      </c>
      <c r="D81" s="210">
        <f t="shared" si="20"/>
        <v>13</v>
      </c>
      <c r="E81" s="214"/>
      <c r="F81" s="214"/>
      <c r="G81" s="213"/>
      <c r="H81" s="21"/>
      <c r="I81" s="21"/>
      <c r="J81" s="275" t="str">
        <f t="shared" si="21"/>
        <v/>
      </c>
      <c r="K81" s="275"/>
      <c r="L81" s="275"/>
      <c r="M81" s="275"/>
      <c r="N81" s="21"/>
      <c r="O81" s="21"/>
      <c r="P81" s="21"/>
      <c r="Q81" s="21"/>
      <c r="R81" s="21"/>
      <c r="S81" s="21"/>
      <c r="T81" s="21"/>
      <c r="U81" s="21"/>
      <c r="V81" s="21"/>
      <c r="W81" s="223"/>
      <c r="AJ81" s="180" t="str">
        <f>IF(Input!P80&lt;&gt;"",Input!P80,"")</f>
        <v/>
      </c>
      <c r="AK81" s="173" t="str">
        <f>IF(Input!Q80&lt;&gt;"",Input!Q80,"")</f>
        <v/>
      </c>
      <c r="AY81" s="178"/>
    </row>
    <row r="82" spans="2:51" ht="15" thickBot="1" x14ac:dyDescent="0.35">
      <c r="B82" s="210">
        <f t="shared" si="18"/>
        <v>1</v>
      </c>
      <c r="C82" s="210">
        <f t="shared" si="19"/>
        <v>270</v>
      </c>
      <c r="D82" s="210">
        <f t="shared" si="20"/>
        <v>14</v>
      </c>
      <c r="E82" s="214"/>
      <c r="F82" s="214"/>
      <c r="G82" s="213"/>
      <c r="H82" s="21"/>
      <c r="I82" s="21"/>
      <c r="J82" s="275" t="str">
        <f t="shared" si="21"/>
        <v/>
      </c>
      <c r="K82" s="275"/>
      <c r="L82" s="275"/>
      <c r="M82" s="275"/>
      <c r="N82" s="21"/>
      <c r="O82" s="21"/>
      <c r="P82" s="21"/>
      <c r="Q82" s="21"/>
      <c r="R82" s="21"/>
      <c r="S82" s="21"/>
      <c r="T82" s="21"/>
      <c r="U82" s="21"/>
      <c r="V82" s="21"/>
      <c r="W82" s="223"/>
      <c r="AJ82" s="180" t="str">
        <f>IF(Input!P81&lt;&gt;"",Input!P81,"")</f>
        <v/>
      </c>
      <c r="AK82" s="173" t="str">
        <f>IF(Input!Q81&lt;&gt;"",Input!Q81,"")</f>
        <v/>
      </c>
      <c r="AY82" s="178"/>
    </row>
    <row r="83" spans="2:51" ht="15" thickBot="1" x14ac:dyDescent="0.35">
      <c r="B83" s="210">
        <f t="shared" si="18"/>
        <v>1</v>
      </c>
      <c r="C83" s="210">
        <f t="shared" si="19"/>
        <v>280</v>
      </c>
      <c r="D83" s="210">
        <f t="shared" si="20"/>
        <v>15</v>
      </c>
      <c r="E83" s="214"/>
      <c r="F83" s="214"/>
      <c r="G83" s="213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23"/>
      <c r="AJ83" s="180" t="str">
        <f>IF(Input!P82&lt;&gt;"",Input!P82,"")</f>
        <v/>
      </c>
      <c r="AK83" s="173" t="str">
        <f>IF(Input!Q82&lt;&gt;"",Input!Q82,"")</f>
        <v/>
      </c>
      <c r="AY83" s="178"/>
    </row>
    <row r="84" spans="2:51" ht="15" thickBot="1" x14ac:dyDescent="0.35">
      <c r="B84" s="210">
        <f t="shared" si="18"/>
        <v>1</v>
      </c>
      <c r="C84" s="210">
        <f t="shared" si="19"/>
        <v>300</v>
      </c>
      <c r="D84" s="210">
        <f t="shared" si="20"/>
        <v>16</v>
      </c>
      <c r="E84" s="214"/>
      <c r="F84" s="214"/>
      <c r="G84" s="213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23"/>
      <c r="AJ84" s="180" t="str">
        <f>IF(Input!P83&lt;&gt;"",Input!P83,"")</f>
        <v/>
      </c>
      <c r="AK84" s="173" t="str">
        <f>IF(Input!Q83&lt;&gt;"",Input!Q83,"")</f>
        <v/>
      </c>
      <c r="AY84" s="178"/>
    </row>
    <row r="85" spans="2:51" ht="15" thickBot="1" x14ac:dyDescent="0.35">
      <c r="B85" s="210">
        <f t="shared" si="18"/>
        <v>1</v>
      </c>
      <c r="C85" s="210">
        <f t="shared" si="19"/>
        <v>310</v>
      </c>
      <c r="D85" s="210">
        <f t="shared" si="20"/>
        <v>17</v>
      </c>
      <c r="E85" s="214"/>
      <c r="F85" s="214"/>
      <c r="G85" s="213"/>
      <c r="H85" s="21"/>
      <c r="I85" s="215"/>
      <c r="J85" s="215"/>
      <c r="K85" s="215"/>
      <c r="L85" s="215"/>
      <c r="M85" s="215"/>
      <c r="N85" s="215"/>
      <c r="O85" s="21"/>
      <c r="P85" s="21"/>
      <c r="Q85" s="21"/>
      <c r="R85" s="21"/>
      <c r="S85" s="21"/>
      <c r="T85" s="21"/>
      <c r="U85" s="21"/>
      <c r="V85" s="21"/>
      <c r="W85" s="223"/>
      <c r="AJ85" s="180" t="str">
        <f>IF(Input!P84&lt;&gt;"",Input!P84,"")</f>
        <v/>
      </c>
      <c r="AK85" s="173" t="str">
        <f>IF(Input!Q84&lt;&gt;"",Input!Q84,"")</f>
        <v/>
      </c>
      <c r="AY85" s="178"/>
    </row>
    <row r="86" spans="2:51" ht="15" thickBot="1" x14ac:dyDescent="0.35">
      <c r="B86" s="210">
        <f t="shared" si="18"/>
        <v>1</v>
      </c>
      <c r="C86" s="210">
        <f t="shared" si="19"/>
        <v>340</v>
      </c>
      <c r="D86" s="210">
        <f t="shared" si="20"/>
        <v>18</v>
      </c>
      <c r="E86" s="214"/>
      <c r="F86" s="214"/>
      <c r="G86" s="213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23"/>
      <c r="AJ86" s="180" t="str">
        <f>IF(Input!P85&lt;&gt;"",Input!P85,"")</f>
        <v/>
      </c>
      <c r="AK86" s="173" t="str">
        <f>IF(Input!Q85&lt;&gt;"",Input!Q85,"")</f>
        <v/>
      </c>
      <c r="AY86" s="178"/>
    </row>
    <row r="87" spans="2:51" ht="17" thickBot="1" x14ac:dyDescent="0.5">
      <c r="B87" s="210">
        <f t="shared" si="18"/>
        <v>1</v>
      </c>
      <c r="C87" s="210">
        <f t="shared" si="19"/>
        <v>360</v>
      </c>
      <c r="D87" s="210">
        <f t="shared" si="20"/>
        <v>19</v>
      </c>
      <c r="E87" s="214"/>
      <c r="F87" s="214"/>
      <c r="G87" s="213"/>
      <c r="H87" s="21"/>
      <c r="I87" s="216"/>
      <c r="J87" s="216"/>
      <c r="K87" s="216"/>
      <c r="L87" s="216"/>
      <c r="M87" s="216"/>
      <c r="N87" s="21"/>
      <c r="O87" s="21"/>
      <c r="P87" s="21"/>
      <c r="Q87" s="21"/>
      <c r="R87" s="21"/>
      <c r="S87" s="21"/>
      <c r="T87" s="21"/>
      <c r="U87" s="21"/>
      <c r="V87" s="21"/>
      <c r="W87" s="223"/>
      <c r="AJ87" s="180" t="str">
        <f>IF(Input!P86&lt;&gt;"",Input!P86,"")</f>
        <v/>
      </c>
      <c r="AK87" s="173" t="str">
        <f>IF(Input!Q86&lt;&gt;"",Input!Q86,"")</f>
        <v/>
      </c>
      <c r="AY87" s="178"/>
    </row>
    <row r="88" spans="2:51" ht="15" thickBot="1" x14ac:dyDescent="0.35">
      <c r="B88" s="210">
        <f t="shared" si="18"/>
        <v>1</v>
      </c>
      <c r="C88" s="210">
        <f t="shared" si="19"/>
        <v>380</v>
      </c>
      <c r="D88" s="210">
        <f t="shared" si="20"/>
        <v>20</v>
      </c>
      <c r="E88" s="214"/>
      <c r="F88" s="214"/>
      <c r="G88" s="213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23"/>
      <c r="AJ88" s="180" t="str">
        <f>IF(Input!P87&lt;&gt;"",Input!P87,"")</f>
        <v/>
      </c>
      <c r="AK88" s="173" t="str">
        <f>IF(Input!Q87&lt;&gt;"",Input!Q87,"")</f>
        <v/>
      </c>
      <c r="AY88" s="178"/>
    </row>
    <row r="89" spans="2:51" ht="15" thickBot="1" x14ac:dyDescent="0.35">
      <c r="B89" s="210">
        <f t="shared" si="18"/>
        <v>1</v>
      </c>
      <c r="C89" s="210">
        <f t="shared" si="19"/>
        <v>390</v>
      </c>
      <c r="D89" s="210">
        <f t="shared" si="20"/>
        <v>21</v>
      </c>
      <c r="E89" s="214"/>
      <c r="F89" s="214"/>
      <c r="G89" s="213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23"/>
      <c r="AJ89" s="180" t="str">
        <f>IF(Input!P88&lt;&gt;"",Input!P88,"")</f>
        <v/>
      </c>
      <c r="AK89" s="173" t="str">
        <f>IF(Input!Q88&lt;&gt;"",Input!Q88,"")</f>
        <v/>
      </c>
      <c r="AY89" s="178"/>
    </row>
    <row r="90" spans="2:51" ht="15" thickBot="1" x14ac:dyDescent="0.35">
      <c r="B90" s="210">
        <f t="shared" si="18"/>
        <v>1</v>
      </c>
      <c r="C90" s="210">
        <f t="shared" si="19"/>
        <v>410</v>
      </c>
      <c r="D90" s="210">
        <f t="shared" si="20"/>
        <v>22</v>
      </c>
      <c r="E90" s="214"/>
      <c r="F90" s="214"/>
      <c r="G90" s="213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23"/>
      <c r="AJ90" s="180" t="str">
        <f>IF(Input!P89&lt;&gt;"",Input!P89,"")</f>
        <v/>
      </c>
      <c r="AK90" s="173" t="str">
        <f>IF(Input!Q89&lt;&gt;"",Input!Q89,"")</f>
        <v/>
      </c>
      <c r="AY90" s="178"/>
    </row>
    <row r="91" spans="2:51" ht="15" thickBot="1" x14ac:dyDescent="0.35">
      <c r="B91" s="210">
        <f t="shared" si="18"/>
        <v>1</v>
      </c>
      <c r="C91" s="210">
        <f t="shared" si="19"/>
        <v>420</v>
      </c>
      <c r="D91" s="210">
        <f t="shared" si="20"/>
        <v>23</v>
      </c>
      <c r="E91" s="214"/>
      <c r="F91" s="214"/>
      <c r="G91" s="213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23"/>
      <c r="AJ91" s="180" t="str">
        <f>IF(Input!P90&lt;&gt;"",Input!P90,"")</f>
        <v/>
      </c>
      <c r="AK91" s="173" t="str">
        <f>IF(Input!Q90&lt;&gt;"",Input!Q90,"")</f>
        <v/>
      </c>
      <c r="AY91" s="178"/>
    </row>
    <row r="92" spans="2:51" ht="15" thickBot="1" x14ac:dyDescent="0.35">
      <c r="B92" s="210">
        <f t="shared" si="18"/>
        <v>1</v>
      </c>
      <c r="C92" s="210">
        <f t="shared" si="19"/>
        <v>440</v>
      </c>
      <c r="D92" s="210">
        <f t="shared" si="20"/>
        <v>24</v>
      </c>
      <c r="E92" s="214"/>
      <c r="F92" s="214"/>
      <c r="G92" s="213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23"/>
      <c r="AJ92" s="180" t="str">
        <f>IF(Input!P91&lt;&gt;"",Input!P91,"")</f>
        <v/>
      </c>
      <c r="AK92" s="173" t="str">
        <f>IF(Input!Q91&lt;&gt;"",Input!Q91,"")</f>
        <v/>
      </c>
      <c r="AY92" s="178"/>
    </row>
    <row r="93" spans="2:51" ht="15" thickBot="1" x14ac:dyDescent="0.35">
      <c r="B93" s="210">
        <f t="shared" si="18"/>
        <v>1</v>
      </c>
      <c r="C93" s="210">
        <f t="shared" si="19"/>
        <v>460</v>
      </c>
      <c r="D93" s="210">
        <f t="shared" si="20"/>
        <v>25</v>
      </c>
      <c r="E93" s="214"/>
      <c r="F93" s="214"/>
      <c r="G93" s="213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23"/>
      <c r="AJ93" s="180" t="str">
        <f>IF(Input!P92&lt;&gt;"",Input!P92,"")</f>
        <v/>
      </c>
      <c r="AK93" s="173" t="str">
        <f>IF(Input!Q92&lt;&gt;"",Input!Q92,"")</f>
        <v/>
      </c>
      <c r="AY93" s="178"/>
    </row>
    <row r="94" spans="2:51" ht="15" thickBot="1" x14ac:dyDescent="0.35">
      <c r="B94" s="210">
        <f t="shared" si="18"/>
        <v>1</v>
      </c>
      <c r="C94" s="210">
        <f t="shared" si="19"/>
        <v>480</v>
      </c>
      <c r="D94" s="210">
        <f t="shared" si="20"/>
        <v>26</v>
      </c>
      <c r="E94" s="214"/>
      <c r="F94" s="214"/>
      <c r="G94" s="213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23"/>
      <c r="AJ94" s="180" t="str">
        <f>IF(Input!P93&lt;&gt;"",Input!P93,"")</f>
        <v/>
      </c>
      <c r="AK94" s="173" t="str">
        <f>IF(Input!Q93&lt;&gt;"",Input!Q93,"")</f>
        <v/>
      </c>
      <c r="AY94" s="178"/>
    </row>
    <row r="95" spans="2:51" ht="15" thickBot="1" x14ac:dyDescent="0.35">
      <c r="B95" s="210">
        <f t="shared" si="18"/>
        <v>1</v>
      </c>
      <c r="C95" s="210">
        <f t="shared" si="19"/>
        <v>495</v>
      </c>
      <c r="D95" s="210">
        <f t="shared" si="20"/>
        <v>27</v>
      </c>
      <c r="E95" s="214"/>
      <c r="F95" s="214"/>
      <c r="G95" s="213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23"/>
      <c r="AJ95" s="180" t="str">
        <f>IF(Input!P94&lt;&gt;"",Input!P94,"")</f>
        <v/>
      </c>
      <c r="AK95" s="173" t="str">
        <f>IF(Input!Q94&lt;&gt;"",Input!Q94,"")</f>
        <v/>
      </c>
      <c r="AY95" s="178"/>
    </row>
    <row r="96" spans="2:51" ht="15" thickBot="1" x14ac:dyDescent="0.35">
      <c r="B96" s="210">
        <f t="shared" si="18"/>
        <v>1</v>
      </c>
      <c r="C96" s="210">
        <f t="shared" si="19"/>
        <v>510</v>
      </c>
      <c r="D96" s="210">
        <f t="shared" si="20"/>
        <v>28</v>
      </c>
      <c r="E96" s="214"/>
      <c r="F96" s="214"/>
      <c r="G96" s="213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23"/>
      <c r="AJ96" s="180" t="str">
        <f>IF(Input!P95&lt;&gt;"",Input!P95,"")</f>
        <v/>
      </c>
      <c r="AK96" s="173" t="str">
        <f>IF(Input!Q95&lt;&gt;"",Input!Q95,"")</f>
        <v/>
      </c>
      <c r="AY96" s="178"/>
    </row>
    <row r="97" spans="2:51" ht="15" thickBot="1" x14ac:dyDescent="0.35">
      <c r="B97" s="210">
        <f t="shared" si="18"/>
        <v>1</v>
      </c>
      <c r="C97" s="210">
        <f t="shared" si="19"/>
        <v>525</v>
      </c>
      <c r="D97" s="210">
        <f t="shared" si="20"/>
        <v>29</v>
      </c>
      <c r="E97" s="214"/>
      <c r="F97" s="214"/>
      <c r="G97" s="213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23"/>
      <c r="AJ97" s="180" t="str">
        <f>IF(Input!P96&lt;&gt;"",Input!P96,"")</f>
        <v/>
      </c>
      <c r="AK97" s="173" t="str">
        <f>IF(Input!Q96&lt;&gt;"",Input!Q96,"")</f>
        <v/>
      </c>
      <c r="AY97" s="178"/>
    </row>
    <row r="98" spans="2:51" ht="15" thickBot="1" x14ac:dyDescent="0.35">
      <c r="B98" s="210">
        <f t="shared" si="18"/>
        <v>1</v>
      </c>
      <c r="C98" s="210">
        <f t="shared" si="19"/>
        <v>540</v>
      </c>
      <c r="D98" s="210">
        <f t="shared" si="20"/>
        <v>30</v>
      </c>
      <c r="E98" s="214"/>
      <c r="F98" s="214"/>
      <c r="G98" s="213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23"/>
      <c r="AJ98" s="180" t="str">
        <f>IF(Input!P97&lt;&gt;"",Input!P97,"")</f>
        <v/>
      </c>
      <c r="AK98" s="173" t="str">
        <f>IF(Input!Q97&lt;&gt;"",Input!Q97,"")</f>
        <v/>
      </c>
      <c r="AY98" s="178"/>
    </row>
    <row r="99" spans="2:51" ht="15" thickBot="1" x14ac:dyDescent="0.35">
      <c r="B99" s="210">
        <f t="shared" si="18"/>
        <v>1</v>
      </c>
      <c r="C99" s="210">
        <f t="shared" si="19"/>
        <v>560</v>
      </c>
      <c r="D99" s="210">
        <f t="shared" si="20"/>
        <v>31</v>
      </c>
      <c r="E99" s="214"/>
      <c r="F99" s="214"/>
      <c r="G99" s="213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23"/>
      <c r="AJ99" s="180" t="str">
        <f>IF(Input!P98&lt;&gt;"",Input!P98,"")</f>
        <v/>
      </c>
      <c r="AK99" s="173" t="str">
        <f>IF(Input!Q98&lt;&gt;"",Input!Q98,"")</f>
        <v/>
      </c>
      <c r="AY99" s="178"/>
    </row>
    <row r="100" spans="2:51" ht="15" thickBot="1" x14ac:dyDescent="0.35">
      <c r="B100" s="210">
        <f t="shared" ref="B100:B131" si="22">IF(AJ36&lt;&gt;"", AJ36, "")</f>
        <v>1</v>
      </c>
      <c r="C100" s="210">
        <f t="shared" ref="C100:C131" si="23">IF(AK36&lt;&gt;"", AK36, "")</f>
        <v>580</v>
      </c>
      <c r="D100" s="210">
        <f t="shared" si="20"/>
        <v>32</v>
      </c>
      <c r="E100" s="214"/>
      <c r="F100" s="214"/>
      <c r="G100" s="213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23"/>
      <c r="AJ100" s="180" t="str">
        <f>IF(Input!P99&lt;&gt;"",Input!P99,"")</f>
        <v/>
      </c>
      <c r="AK100" s="173" t="str">
        <f>IF(Input!Q99&lt;&gt;"",Input!Q99,"")</f>
        <v/>
      </c>
      <c r="AY100" s="178"/>
    </row>
    <row r="101" spans="2:51" ht="15" thickBot="1" x14ac:dyDescent="0.35">
      <c r="B101" s="210">
        <f t="shared" si="22"/>
        <v>1</v>
      </c>
      <c r="C101" s="210">
        <f t="shared" si="23"/>
        <v>600</v>
      </c>
      <c r="D101" s="210">
        <f t="shared" si="20"/>
        <v>33</v>
      </c>
      <c r="E101" s="214"/>
      <c r="F101" s="214"/>
      <c r="G101" s="213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23"/>
      <c r="AJ101" s="180" t="str">
        <f>IF(Input!P100&lt;&gt;"",Input!P100,"")</f>
        <v/>
      </c>
      <c r="AK101" s="173" t="str">
        <f>IF(Input!Q100&lt;&gt;"",Input!Q100,"")</f>
        <v/>
      </c>
      <c r="AY101" s="178"/>
    </row>
    <row r="102" spans="2:51" ht="15" thickBot="1" x14ac:dyDescent="0.35">
      <c r="B102" s="210">
        <f t="shared" si="22"/>
        <v>1</v>
      </c>
      <c r="C102" s="210">
        <f t="shared" si="23"/>
        <v>640</v>
      </c>
      <c r="D102" s="210">
        <f t="shared" si="20"/>
        <v>34</v>
      </c>
      <c r="E102" s="214"/>
      <c r="F102" s="214"/>
      <c r="G102" s="213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23"/>
      <c r="AJ102" s="180" t="str">
        <f>IF(Input!P101&lt;&gt;"",Input!P101,"")</f>
        <v/>
      </c>
      <c r="AK102" s="173" t="str">
        <f>IF(Input!Q101&lt;&gt;"",Input!Q101,"")</f>
        <v/>
      </c>
      <c r="AY102" s="178"/>
    </row>
    <row r="103" spans="2:51" ht="15" thickBot="1" x14ac:dyDescent="0.35">
      <c r="B103" s="210">
        <f t="shared" si="22"/>
        <v>1</v>
      </c>
      <c r="C103" s="210">
        <f t="shared" si="23"/>
        <v>680</v>
      </c>
      <c r="D103" s="210">
        <f t="shared" si="20"/>
        <v>35</v>
      </c>
      <c r="E103" s="214"/>
      <c r="F103" s="214"/>
      <c r="G103" s="213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23"/>
      <c r="AJ103" s="180" t="str">
        <f>IF(Input!P102&lt;&gt;"",Input!P102,"")</f>
        <v/>
      </c>
      <c r="AK103" s="173" t="str">
        <f>IF(Input!Q102&lt;&gt;"",Input!Q102,"")</f>
        <v/>
      </c>
      <c r="AY103" s="178"/>
    </row>
    <row r="104" spans="2:51" ht="15" thickBot="1" x14ac:dyDescent="0.35">
      <c r="B104" s="210">
        <f t="shared" si="22"/>
        <v>1</v>
      </c>
      <c r="C104" s="210">
        <f t="shared" si="23"/>
        <v>720</v>
      </c>
      <c r="D104" s="210">
        <f t="shared" si="20"/>
        <v>36</v>
      </c>
      <c r="E104" s="214"/>
      <c r="F104" s="214"/>
      <c r="G104" s="213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23"/>
      <c r="AJ104" s="180" t="str">
        <f>IF(Input!P103&lt;&gt;"",Input!P103,"")</f>
        <v/>
      </c>
      <c r="AK104" s="173" t="str">
        <f>IF(Input!Q103&lt;&gt;"",Input!Q103,"")</f>
        <v/>
      </c>
      <c r="AY104" s="178"/>
    </row>
    <row r="105" spans="2:51" ht="15" thickBot="1" x14ac:dyDescent="0.35">
      <c r="B105" s="210">
        <f t="shared" si="22"/>
        <v>1</v>
      </c>
      <c r="C105" s="210">
        <f t="shared" si="23"/>
        <v>760</v>
      </c>
      <c r="D105" s="210">
        <f t="shared" si="20"/>
        <v>37</v>
      </c>
      <c r="E105" s="214"/>
      <c r="F105" s="214"/>
      <c r="G105" s="213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23"/>
      <c r="AJ105" s="180" t="str">
        <f>IF(Input!P104&lt;&gt;"",Input!P104,"")</f>
        <v/>
      </c>
      <c r="AK105" s="173" t="str">
        <f>IF(Input!Q104&lt;&gt;"",Input!Q104,"")</f>
        <v/>
      </c>
      <c r="AY105" s="178"/>
    </row>
    <row r="106" spans="2:51" ht="15" thickBot="1" x14ac:dyDescent="0.35">
      <c r="B106" s="210">
        <f t="shared" si="22"/>
        <v>1</v>
      </c>
      <c r="C106" s="210">
        <f t="shared" si="23"/>
        <v>790</v>
      </c>
      <c r="D106" s="210">
        <f t="shared" si="20"/>
        <v>38</v>
      </c>
      <c r="E106" s="214"/>
      <c r="F106" s="214"/>
      <c r="G106" s="213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23"/>
      <c r="AJ106" s="180" t="str">
        <f>IF(Input!P105&lt;&gt;"",Input!P105,"")</f>
        <v/>
      </c>
      <c r="AK106" s="173" t="str">
        <f>IF(Input!Q105&lt;&gt;"",Input!Q105,"")</f>
        <v/>
      </c>
      <c r="AY106" s="178"/>
    </row>
    <row r="107" spans="2:51" ht="15" thickBot="1" x14ac:dyDescent="0.35">
      <c r="B107" s="210">
        <f t="shared" si="22"/>
        <v>1</v>
      </c>
      <c r="C107" s="210">
        <f t="shared" si="23"/>
        <v>830</v>
      </c>
      <c r="D107" s="210">
        <f t="shared" si="20"/>
        <v>39</v>
      </c>
      <c r="E107" s="214"/>
      <c r="F107" s="214"/>
      <c r="G107" s="213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23"/>
      <c r="AJ107" s="180" t="str">
        <f>IF(Input!P106&lt;&gt;"",Input!P106,"")</f>
        <v/>
      </c>
      <c r="AK107" s="173" t="str">
        <f>IF(Input!Q106&lt;&gt;"",Input!Q106,"")</f>
        <v/>
      </c>
      <c r="AY107" s="178"/>
    </row>
    <row r="108" spans="2:51" ht="15" thickBot="1" x14ac:dyDescent="0.35">
      <c r="B108" s="210">
        <f t="shared" si="22"/>
        <v>1</v>
      </c>
      <c r="C108" s="210">
        <f t="shared" si="23"/>
        <v>860</v>
      </c>
      <c r="D108" s="210">
        <f t="shared" si="20"/>
        <v>40</v>
      </c>
      <c r="E108" s="214"/>
      <c r="F108" s="214"/>
      <c r="G108" s="213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23"/>
      <c r="AJ108" s="180" t="str">
        <f>IF(Input!P107&lt;&gt;"",Input!P107,"")</f>
        <v/>
      </c>
      <c r="AK108" s="173" t="str">
        <f>IF(Input!Q107&lt;&gt;"",Input!Q107,"")</f>
        <v/>
      </c>
      <c r="AY108" s="178"/>
    </row>
    <row r="109" spans="2:51" ht="15" thickBot="1" x14ac:dyDescent="0.35">
      <c r="B109" s="210">
        <f t="shared" si="22"/>
        <v>1</v>
      </c>
      <c r="C109" s="210">
        <f t="shared" si="23"/>
        <v>900</v>
      </c>
      <c r="D109" s="210">
        <f t="shared" si="20"/>
        <v>41</v>
      </c>
      <c r="E109" s="214"/>
      <c r="F109" s="214"/>
      <c r="G109" s="213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23"/>
      <c r="AJ109" s="180" t="str">
        <f>IF(Input!P108&lt;&gt;"",Input!P108,"")</f>
        <v/>
      </c>
      <c r="AK109" s="173" t="str">
        <f>IF(Input!Q108&lt;&gt;"",Input!Q108,"")</f>
        <v/>
      </c>
      <c r="AY109" s="178"/>
    </row>
    <row r="110" spans="2:51" ht="15" thickBot="1" x14ac:dyDescent="0.35">
      <c r="B110" s="210">
        <f t="shared" si="22"/>
        <v>1</v>
      </c>
      <c r="C110" s="210">
        <f t="shared" si="23"/>
        <v>940</v>
      </c>
      <c r="D110" s="210">
        <f t="shared" si="20"/>
        <v>42</v>
      </c>
      <c r="E110" s="214"/>
      <c r="F110" s="214"/>
      <c r="G110" s="213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23"/>
      <c r="AJ110" s="180" t="str">
        <f>IF(Input!P109&lt;&gt;"",Input!P109,"")</f>
        <v/>
      </c>
      <c r="AK110" s="173" t="str">
        <f>IF(Input!Q109&lt;&gt;"",Input!Q109,"")</f>
        <v/>
      </c>
      <c r="AY110" s="178"/>
    </row>
    <row r="111" spans="2:51" ht="15" thickBot="1" x14ac:dyDescent="0.35">
      <c r="B111" s="210">
        <f t="shared" si="22"/>
        <v>1</v>
      </c>
      <c r="C111" s="210">
        <f t="shared" si="23"/>
        <v>960</v>
      </c>
      <c r="D111" s="210">
        <f t="shared" si="20"/>
        <v>43</v>
      </c>
      <c r="E111" s="214"/>
      <c r="F111" s="214"/>
      <c r="G111" s="213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23"/>
      <c r="AJ111" s="180" t="str">
        <f>IF(Input!P110&lt;&gt;"",Input!P110,"")</f>
        <v/>
      </c>
      <c r="AK111" s="173" t="str">
        <f>IF(Input!Q110&lt;&gt;"",Input!Q110,"")</f>
        <v/>
      </c>
      <c r="AY111" s="178"/>
    </row>
    <row r="112" spans="2:51" ht="15" thickBot="1" x14ac:dyDescent="0.35">
      <c r="B112" s="210" t="str">
        <f t="shared" si="22"/>
        <v/>
      </c>
      <c r="C112" s="210" t="str">
        <f t="shared" si="23"/>
        <v/>
      </c>
      <c r="D112" s="210" t="str">
        <f t="shared" si="20"/>
        <v/>
      </c>
      <c r="E112" s="214"/>
      <c r="F112" s="214"/>
      <c r="G112" s="213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23"/>
      <c r="AJ112" s="180" t="str">
        <f>IF(Input!P111&lt;&gt;"",Input!P111,"")</f>
        <v/>
      </c>
      <c r="AK112" s="173" t="str">
        <f>IF(Input!Q111&lt;&gt;"",Input!Q111,"")</f>
        <v/>
      </c>
      <c r="AY112" s="178"/>
    </row>
    <row r="113" spans="2:51" ht="15" thickBot="1" x14ac:dyDescent="0.35">
      <c r="B113" s="210" t="str">
        <f t="shared" si="22"/>
        <v/>
      </c>
      <c r="C113" s="210" t="str">
        <f t="shared" si="23"/>
        <v/>
      </c>
      <c r="D113" s="210" t="str">
        <f t="shared" si="20"/>
        <v/>
      </c>
      <c r="E113" s="214"/>
      <c r="F113" s="214"/>
      <c r="G113" s="213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23"/>
      <c r="AJ113" s="180" t="str">
        <f>IF(Input!P112&lt;&gt;"",Input!P112,"")</f>
        <v/>
      </c>
      <c r="AK113" s="173" t="str">
        <f>IF(Input!Q112&lt;&gt;"",Input!Q112,"")</f>
        <v/>
      </c>
      <c r="AY113" s="178"/>
    </row>
    <row r="114" spans="2:51" ht="15" thickBot="1" x14ac:dyDescent="0.35">
      <c r="B114" s="210" t="str">
        <f t="shared" si="22"/>
        <v/>
      </c>
      <c r="C114" s="210" t="str">
        <f t="shared" si="23"/>
        <v/>
      </c>
      <c r="D114" s="210" t="str">
        <f t="shared" si="20"/>
        <v/>
      </c>
      <c r="E114" s="214"/>
      <c r="F114" s="214"/>
      <c r="G114" s="213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23"/>
      <c r="AJ114" s="180" t="str">
        <f>IF(Input!P113&lt;&gt;"",Input!P113,"")</f>
        <v/>
      </c>
      <c r="AK114" s="173" t="str">
        <f>IF(Input!Q113&lt;&gt;"",Input!Q113,"")</f>
        <v/>
      </c>
      <c r="AY114" s="178"/>
    </row>
    <row r="115" spans="2:51" ht="15" thickBot="1" x14ac:dyDescent="0.35">
      <c r="B115" s="210" t="str">
        <f t="shared" si="22"/>
        <v/>
      </c>
      <c r="C115" s="210" t="str">
        <f t="shared" si="23"/>
        <v/>
      </c>
      <c r="D115" s="210" t="str">
        <f t="shared" si="20"/>
        <v/>
      </c>
      <c r="E115" s="214"/>
      <c r="F115" s="214"/>
      <c r="G115" s="213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23"/>
      <c r="AJ115" s="180" t="str">
        <f>IF(Input!P114&lt;&gt;"",Input!P114,"")</f>
        <v/>
      </c>
      <c r="AK115" s="173" t="str">
        <f>IF(Input!Q114&lt;&gt;"",Input!Q114,"")</f>
        <v/>
      </c>
      <c r="AY115" s="178"/>
    </row>
    <row r="116" spans="2:51" ht="15" thickBot="1" x14ac:dyDescent="0.35">
      <c r="B116" s="210" t="str">
        <f t="shared" si="22"/>
        <v/>
      </c>
      <c r="C116" s="210" t="str">
        <f t="shared" si="23"/>
        <v/>
      </c>
      <c r="D116" s="210" t="str">
        <f t="shared" si="20"/>
        <v/>
      </c>
      <c r="E116" s="214"/>
      <c r="F116" s="214"/>
      <c r="G116" s="213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23"/>
      <c r="AJ116" s="180" t="str">
        <f>IF(Input!P115&lt;&gt;"",Input!P115,"")</f>
        <v/>
      </c>
      <c r="AK116" s="173" t="str">
        <f>IF(Input!Q115&lt;&gt;"",Input!Q115,"")</f>
        <v/>
      </c>
      <c r="AY116" s="178"/>
    </row>
    <row r="117" spans="2:51" ht="15" thickBot="1" x14ac:dyDescent="0.35">
      <c r="B117" s="210" t="str">
        <f t="shared" si="22"/>
        <v/>
      </c>
      <c r="C117" s="210" t="str">
        <f t="shared" si="23"/>
        <v/>
      </c>
      <c r="D117" s="210" t="str">
        <f t="shared" si="20"/>
        <v/>
      </c>
      <c r="E117" s="214"/>
      <c r="F117" s="214"/>
      <c r="G117" s="213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23"/>
      <c r="AJ117" s="180" t="str">
        <f>IF(Input!P116&lt;&gt;"",Input!P116,"")</f>
        <v/>
      </c>
      <c r="AK117" s="173" t="str">
        <f>IF(Input!Q116&lt;&gt;"",Input!Q116,"")</f>
        <v/>
      </c>
      <c r="AY117" s="178"/>
    </row>
    <row r="118" spans="2:51" ht="15" thickBot="1" x14ac:dyDescent="0.35">
      <c r="B118" s="210" t="str">
        <f t="shared" si="22"/>
        <v/>
      </c>
      <c r="C118" s="210" t="str">
        <f t="shared" si="23"/>
        <v/>
      </c>
      <c r="D118" s="210" t="str">
        <f t="shared" si="20"/>
        <v/>
      </c>
      <c r="E118" s="214"/>
      <c r="F118" s="214"/>
      <c r="G118" s="213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23"/>
      <c r="AJ118" s="180" t="str">
        <f>IF(Input!P117&lt;&gt;"",Input!P117,"")</f>
        <v/>
      </c>
      <c r="AK118" s="173" t="str">
        <f>IF(Input!Q117&lt;&gt;"",Input!Q117,"")</f>
        <v/>
      </c>
      <c r="AY118" s="178"/>
    </row>
    <row r="119" spans="2:51" ht="15" thickBot="1" x14ac:dyDescent="0.35">
      <c r="B119" s="210" t="str">
        <f t="shared" si="22"/>
        <v/>
      </c>
      <c r="C119" s="210" t="str">
        <f t="shared" si="23"/>
        <v/>
      </c>
      <c r="D119" s="210" t="str">
        <f t="shared" si="20"/>
        <v/>
      </c>
      <c r="E119" s="214"/>
      <c r="F119" s="214"/>
      <c r="G119" s="213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23"/>
      <c r="AJ119" s="180" t="str">
        <f>IF(Input!P118&lt;&gt;"",Input!P118,"")</f>
        <v/>
      </c>
      <c r="AK119" s="173" t="str">
        <f>IF(Input!Q118&lt;&gt;"",Input!Q118,"")</f>
        <v/>
      </c>
      <c r="AY119" s="178"/>
    </row>
    <row r="120" spans="2:51" ht="15" thickBot="1" x14ac:dyDescent="0.35">
      <c r="B120" s="210" t="str">
        <f t="shared" si="22"/>
        <v/>
      </c>
      <c r="C120" s="210" t="str">
        <f t="shared" si="23"/>
        <v/>
      </c>
      <c r="D120" s="210" t="str">
        <f t="shared" si="20"/>
        <v/>
      </c>
      <c r="E120" s="214"/>
      <c r="F120" s="214"/>
      <c r="G120" s="213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23"/>
      <c r="AJ120" s="180" t="str">
        <f>IF(Input!P119&lt;&gt;"",Input!P119,"")</f>
        <v/>
      </c>
      <c r="AK120" s="173" t="str">
        <f>IF(Input!Q119&lt;&gt;"",Input!Q119,"")</f>
        <v/>
      </c>
      <c r="AY120" s="178"/>
    </row>
    <row r="121" spans="2:51" ht="15" thickBot="1" x14ac:dyDescent="0.35">
      <c r="B121" s="210" t="str">
        <f t="shared" si="22"/>
        <v/>
      </c>
      <c r="C121" s="210" t="str">
        <f t="shared" si="23"/>
        <v/>
      </c>
      <c r="D121" s="210" t="str">
        <f t="shared" si="20"/>
        <v/>
      </c>
      <c r="E121" s="214"/>
      <c r="F121" s="214"/>
      <c r="G121" s="213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23"/>
      <c r="AJ121" s="180" t="str">
        <f>IF(Input!P120&lt;&gt;"",Input!P120,"")</f>
        <v/>
      </c>
      <c r="AK121" s="173" t="str">
        <f>IF(Input!Q120&lt;&gt;"",Input!Q120,"")</f>
        <v/>
      </c>
      <c r="AY121" s="178"/>
    </row>
    <row r="122" spans="2:51" ht="15" thickBot="1" x14ac:dyDescent="0.35">
      <c r="B122" s="210" t="str">
        <f t="shared" si="22"/>
        <v/>
      </c>
      <c r="C122" s="210" t="str">
        <f t="shared" si="23"/>
        <v/>
      </c>
      <c r="D122" s="210" t="str">
        <f t="shared" si="20"/>
        <v/>
      </c>
      <c r="E122" s="214"/>
      <c r="F122" s="214"/>
      <c r="G122" s="213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23"/>
      <c r="AJ122" s="180" t="str">
        <f>IF(Input!P121&lt;&gt;"",Input!P121,"")</f>
        <v/>
      </c>
      <c r="AK122" s="173" t="str">
        <f>IF(Input!Q121&lt;&gt;"",Input!Q121,"")</f>
        <v/>
      </c>
      <c r="AY122" s="178"/>
    </row>
    <row r="123" spans="2:51" ht="15" thickBot="1" x14ac:dyDescent="0.35">
      <c r="B123" s="210" t="str">
        <f t="shared" si="22"/>
        <v/>
      </c>
      <c r="C123" s="210" t="str">
        <f t="shared" si="23"/>
        <v/>
      </c>
      <c r="D123" s="210" t="str">
        <f t="shared" si="20"/>
        <v/>
      </c>
      <c r="E123" s="214"/>
      <c r="F123" s="214"/>
      <c r="G123" s="213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23"/>
      <c r="AJ123" s="180" t="str">
        <f>IF(Input!P122&lt;&gt;"",Input!P122,"")</f>
        <v/>
      </c>
      <c r="AK123" s="173" t="str">
        <f>IF(Input!Q122&lt;&gt;"",Input!Q122,"")</f>
        <v/>
      </c>
      <c r="AY123" s="178"/>
    </row>
    <row r="124" spans="2:51" ht="15" thickBot="1" x14ac:dyDescent="0.35">
      <c r="B124" s="210" t="str">
        <f t="shared" si="22"/>
        <v/>
      </c>
      <c r="C124" s="210" t="str">
        <f t="shared" si="23"/>
        <v/>
      </c>
      <c r="D124" s="210" t="str">
        <f t="shared" si="20"/>
        <v/>
      </c>
      <c r="E124" s="214"/>
      <c r="F124" s="214"/>
      <c r="G124" s="213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23"/>
      <c r="AJ124" s="180" t="str">
        <f>IF(Input!P123&lt;&gt;"",Input!P123,"")</f>
        <v/>
      </c>
      <c r="AK124" s="173" t="str">
        <f>IF(Input!Q123&lt;&gt;"",Input!Q123,"")</f>
        <v/>
      </c>
      <c r="AY124" s="178"/>
    </row>
    <row r="125" spans="2:51" ht="15" thickBot="1" x14ac:dyDescent="0.35">
      <c r="B125" s="210" t="str">
        <f t="shared" si="22"/>
        <v/>
      </c>
      <c r="C125" s="210" t="str">
        <f t="shared" si="23"/>
        <v/>
      </c>
      <c r="D125" s="210" t="str">
        <f t="shared" si="20"/>
        <v/>
      </c>
      <c r="E125" s="214"/>
      <c r="F125" s="214"/>
      <c r="G125" s="213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23"/>
      <c r="AJ125" s="180" t="str">
        <f>IF(Input!P124&lt;&gt;"",Input!P124,"")</f>
        <v/>
      </c>
      <c r="AK125" s="173" t="str">
        <f>IF(Input!Q124&lt;&gt;"",Input!Q124,"")</f>
        <v/>
      </c>
      <c r="AY125" s="178"/>
    </row>
    <row r="126" spans="2:51" ht="15" thickBot="1" x14ac:dyDescent="0.35">
      <c r="B126" s="210" t="str">
        <f t="shared" si="22"/>
        <v/>
      </c>
      <c r="C126" s="210" t="str">
        <f t="shared" si="23"/>
        <v/>
      </c>
      <c r="D126" s="210" t="str">
        <f t="shared" si="20"/>
        <v/>
      </c>
      <c r="E126" s="214"/>
      <c r="F126" s="214"/>
      <c r="G126" s="213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23"/>
      <c r="AJ126" s="180" t="str">
        <f>IF(Input!P125&lt;&gt;"",Input!P125,"")</f>
        <v/>
      </c>
      <c r="AK126" s="173" t="str">
        <f>IF(Input!Q125&lt;&gt;"",Input!Q125,"")</f>
        <v/>
      </c>
      <c r="AY126" s="178"/>
    </row>
    <row r="127" spans="2:51" ht="15" thickBot="1" x14ac:dyDescent="0.35">
      <c r="B127" s="210" t="str">
        <f t="shared" si="22"/>
        <v/>
      </c>
      <c r="C127" s="210" t="str">
        <f t="shared" si="23"/>
        <v/>
      </c>
      <c r="D127" s="210" t="str">
        <f t="shared" si="20"/>
        <v/>
      </c>
      <c r="E127" s="214"/>
      <c r="F127" s="214"/>
      <c r="G127" s="213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23"/>
      <c r="AJ127" s="180" t="str">
        <f>IF(Input!P126&lt;&gt;"",Input!P126,"")</f>
        <v/>
      </c>
      <c r="AK127" s="173" t="str">
        <f>IF(Input!Q126&lt;&gt;"",Input!Q126,"")</f>
        <v/>
      </c>
      <c r="AY127" s="178"/>
    </row>
    <row r="128" spans="2:51" ht="15" thickBot="1" x14ac:dyDescent="0.35">
      <c r="B128" s="210" t="str">
        <f t="shared" si="22"/>
        <v/>
      </c>
      <c r="C128" s="210" t="str">
        <f t="shared" si="23"/>
        <v/>
      </c>
      <c r="D128" s="210" t="str">
        <f t="shared" si="20"/>
        <v/>
      </c>
      <c r="E128" s="214"/>
      <c r="F128" s="214"/>
      <c r="G128" s="213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23"/>
      <c r="AJ128" s="180" t="str">
        <f>IF(Input!P127&lt;&gt;"",Input!P127,"")</f>
        <v/>
      </c>
      <c r="AK128" s="173" t="str">
        <f>IF(Input!Q127&lt;&gt;"",Input!Q127,"")</f>
        <v/>
      </c>
      <c r="AY128" s="178"/>
    </row>
    <row r="129" spans="2:51" ht="15" thickBot="1" x14ac:dyDescent="0.35">
      <c r="B129" s="210" t="str">
        <f t="shared" si="22"/>
        <v/>
      </c>
      <c r="C129" s="210" t="str">
        <f t="shared" si="23"/>
        <v/>
      </c>
      <c r="D129" s="210" t="str">
        <f t="shared" si="20"/>
        <v/>
      </c>
      <c r="E129" s="214"/>
      <c r="F129" s="214"/>
      <c r="G129" s="213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23"/>
      <c r="AJ129" s="180" t="str">
        <f>IF(Input!P128&lt;&gt;"",Input!P128,"")</f>
        <v/>
      </c>
      <c r="AK129" s="173" t="str">
        <f>IF(Input!Q128&lt;&gt;"",Input!Q128,"")</f>
        <v/>
      </c>
      <c r="AY129" s="178"/>
    </row>
    <row r="130" spans="2:51" ht="15" thickBot="1" x14ac:dyDescent="0.35">
      <c r="B130" s="210" t="str">
        <f t="shared" si="22"/>
        <v/>
      </c>
      <c r="C130" s="210" t="str">
        <f t="shared" si="23"/>
        <v/>
      </c>
      <c r="D130" s="210" t="str">
        <f t="shared" si="20"/>
        <v/>
      </c>
      <c r="E130" s="214"/>
      <c r="F130" s="214"/>
      <c r="G130" s="213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23"/>
      <c r="AJ130" s="180" t="str">
        <f>IF(Input!P129&lt;&gt;"",Input!P129,"")</f>
        <v/>
      </c>
      <c r="AK130" s="173" t="str">
        <f>IF(Input!Q129&lt;&gt;"",Input!Q129,"")</f>
        <v/>
      </c>
      <c r="AY130" s="178"/>
    </row>
    <row r="131" spans="2:51" ht="15" thickBot="1" x14ac:dyDescent="0.35">
      <c r="B131" s="210" t="str">
        <f t="shared" si="22"/>
        <v/>
      </c>
      <c r="C131" s="210" t="str">
        <f t="shared" si="23"/>
        <v/>
      </c>
      <c r="D131" s="210" t="str">
        <f t="shared" si="20"/>
        <v/>
      </c>
      <c r="E131" s="214"/>
      <c r="F131" s="214"/>
      <c r="G131" s="213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23"/>
      <c r="AJ131" s="180" t="str">
        <f>IF(Input!P130&lt;&gt;"",Input!P130,"")</f>
        <v/>
      </c>
      <c r="AK131" s="173" t="str">
        <f>IF(Input!Q130&lt;&gt;"",Input!Q130,"")</f>
        <v/>
      </c>
      <c r="AY131" s="178"/>
    </row>
    <row r="132" spans="2:51" ht="15" thickBot="1" x14ac:dyDescent="0.35">
      <c r="B132" s="210" t="str">
        <f t="shared" ref="B132:B163" si="24">IF(AJ68&lt;&gt;"", AJ68, "")</f>
        <v/>
      </c>
      <c r="C132" s="210" t="str">
        <f t="shared" ref="C132:C163" si="25">IF(AK68&lt;&gt;"", AK68, "")</f>
        <v/>
      </c>
      <c r="D132" s="210" t="str">
        <f t="shared" si="20"/>
        <v/>
      </c>
      <c r="E132" s="214"/>
      <c r="F132" s="214"/>
      <c r="G132" s="213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23"/>
      <c r="AJ132" s="180" t="str">
        <f>IF(Input!P131&lt;&gt;"",Input!P131,"")</f>
        <v/>
      </c>
      <c r="AK132" s="173" t="str">
        <f>IF(Input!Q131&lt;&gt;"",Input!Q131,"")</f>
        <v/>
      </c>
      <c r="AY132" s="178"/>
    </row>
    <row r="133" spans="2:51" ht="15" thickBot="1" x14ac:dyDescent="0.35">
      <c r="B133" s="210" t="str">
        <f t="shared" si="24"/>
        <v/>
      </c>
      <c r="C133" s="210" t="str">
        <f t="shared" si="25"/>
        <v/>
      </c>
      <c r="D133" s="210" t="str">
        <f t="shared" si="20"/>
        <v/>
      </c>
      <c r="E133" s="214"/>
      <c r="F133" s="214"/>
      <c r="G133" s="213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23"/>
      <c r="AJ133" s="180" t="str">
        <f>IF(Input!P132&lt;&gt;"",Input!P132,"")</f>
        <v/>
      </c>
      <c r="AK133" s="173" t="str">
        <f>IF(Input!Q132&lt;&gt;"",Input!Q132,"")</f>
        <v/>
      </c>
      <c r="AY133" s="178"/>
    </row>
    <row r="134" spans="2:51" ht="15" thickBot="1" x14ac:dyDescent="0.35">
      <c r="B134" s="210" t="str">
        <f t="shared" si="24"/>
        <v/>
      </c>
      <c r="C134" s="210" t="str">
        <f t="shared" si="25"/>
        <v/>
      </c>
      <c r="D134" s="210" t="str">
        <f t="shared" ref="D134:D197" si="26">IF(B134&lt;&gt;"", D133+B134,"")</f>
        <v/>
      </c>
      <c r="E134" s="214"/>
      <c r="F134" s="214"/>
      <c r="G134" s="213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23"/>
      <c r="AJ134" s="180" t="str">
        <f>IF(Input!P133&lt;&gt;"",Input!P133,"")</f>
        <v/>
      </c>
      <c r="AK134" s="173" t="str">
        <f>IF(Input!Q133&lt;&gt;"",Input!Q133,"")</f>
        <v/>
      </c>
      <c r="AY134" s="178"/>
    </row>
    <row r="135" spans="2:51" ht="15" thickBot="1" x14ac:dyDescent="0.35">
      <c r="B135" s="210" t="str">
        <f t="shared" si="24"/>
        <v/>
      </c>
      <c r="C135" s="210" t="str">
        <f t="shared" si="25"/>
        <v/>
      </c>
      <c r="D135" s="210" t="str">
        <f t="shared" si="26"/>
        <v/>
      </c>
      <c r="E135" s="214"/>
      <c r="F135" s="214"/>
      <c r="G135" s="213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23"/>
      <c r="AJ135" s="180" t="str">
        <f>IF(Input!P134&lt;&gt;"",Input!P134,"")</f>
        <v/>
      </c>
      <c r="AK135" s="173" t="str">
        <f>IF(Input!Q134&lt;&gt;"",Input!Q134,"")</f>
        <v/>
      </c>
      <c r="AY135" s="178"/>
    </row>
    <row r="136" spans="2:51" ht="15" thickBot="1" x14ac:dyDescent="0.35">
      <c r="B136" s="210" t="str">
        <f t="shared" si="24"/>
        <v/>
      </c>
      <c r="C136" s="210" t="str">
        <f t="shared" si="25"/>
        <v/>
      </c>
      <c r="D136" s="210" t="str">
        <f t="shared" si="26"/>
        <v/>
      </c>
      <c r="E136" s="214"/>
      <c r="F136" s="214"/>
      <c r="G136" s="213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23"/>
      <c r="AJ136" s="180" t="str">
        <f>IF(Input!P135&lt;&gt;"",Input!P135,"")</f>
        <v/>
      </c>
      <c r="AK136" s="173" t="str">
        <f>IF(Input!Q135&lt;&gt;"",Input!Q135,"")</f>
        <v/>
      </c>
      <c r="AY136" s="178"/>
    </row>
    <row r="137" spans="2:51" ht="15" thickBot="1" x14ac:dyDescent="0.35">
      <c r="B137" s="210" t="str">
        <f t="shared" si="24"/>
        <v/>
      </c>
      <c r="C137" s="210" t="str">
        <f t="shared" si="25"/>
        <v/>
      </c>
      <c r="D137" s="210" t="str">
        <f t="shared" si="26"/>
        <v/>
      </c>
      <c r="E137" s="214"/>
      <c r="F137" s="214"/>
      <c r="G137" s="213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23"/>
      <c r="AJ137" s="180" t="str">
        <f>IF(Input!P136&lt;&gt;"",Input!P136,"")</f>
        <v/>
      </c>
      <c r="AK137" s="173" t="str">
        <f>IF(Input!Q136&lt;&gt;"",Input!Q136,"")</f>
        <v/>
      </c>
      <c r="AY137" s="178"/>
    </row>
    <row r="138" spans="2:51" ht="15" thickBot="1" x14ac:dyDescent="0.35">
      <c r="B138" s="210" t="str">
        <f t="shared" si="24"/>
        <v/>
      </c>
      <c r="C138" s="210" t="str">
        <f t="shared" si="25"/>
        <v/>
      </c>
      <c r="D138" s="210" t="str">
        <f t="shared" si="26"/>
        <v/>
      </c>
      <c r="E138" s="214"/>
      <c r="F138" s="214"/>
      <c r="G138" s="213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23"/>
      <c r="AJ138" s="180" t="str">
        <f>IF(Input!P137&lt;&gt;"",Input!P137,"")</f>
        <v/>
      </c>
      <c r="AK138" s="173" t="str">
        <f>IF(Input!Q137&lt;&gt;"",Input!Q137,"")</f>
        <v/>
      </c>
      <c r="AY138" s="178"/>
    </row>
    <row r="139" spans="2:51" ht="15" thickBot="1" x14ac:dyDescent="0.35">
      <c r="B139" s="210" t="str">
        <f t="shared" si="24"/>
        <v/>
      </c>
      <c r="C139" s="210" t="str">
        <f t="shared" si="25"/>
        <v/>
      </c>
      <c r="D139" s="210" t="str">
        <f t="shared" si="26"/>
        <v/>
      </c>
      <c r="E139" s="214"/>
      <c r="F139" s="214"/>
      <c r="G139" s="213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23"/>
      <c r="AJ139" s="180" t="str">
        <f>IF(Input!P138&lt;&gt;"",Input!P138,"")</f>
        <v/>
      </c>
      <c r="AK139" s="173" t="str">
        <f>IF(Input!Q138&lt;&gt;"",Input!Q138,"")</f>
        <v/>
      </c>
      <c r="AY139" s="178"/>
    </row>
    <row r="140" spans="2:51" ht="15" thickBot="1" x14ac:dyDescent="0.35">
      <c r="B140" s="210" t="str">
        <f t="shared" si="24"/>
        <v/>
      </c>
      <c r="C140" s="210" t="str">
        <f t="shared" si="25"/>
        <v/>
      </c>
      <c r="D140" s="210" t="str">
        <f t="shared" si="26"/>
        <v/>
      </c>
      <c r="E140" s="214"/>
      <c r="F140" s="214"/>
      <c r="G140" s="213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23"/>
      <c r="AJ140" s="180" t="str">
        <f>IF(Input!P139&lt;&gt;"",Input!P139,"")</f>
        <v/>
      </c>
      <c r="AK140" s="173" t="str">
        <f>IF(Input!Q139&lt;&gt;"",Input!Q139,"")</f>
        <v/>
      </c>
      <c r="AY140" s="178"/>
    </row>
    <row r="141" spans="2:51" ht="15" thickBot="1" x14ac:dyDescent="0.35">
      <c r="B141" s="210" t="str">
        <f t="shared" si="24"/>
        <v/>
      </c>
      <c r="C141" s="210" t="str">
        <f t="shared" si="25"/>
        <v/>
      </c>
      <c r="D141" s="210" t="str">
        <f t="shared" si="26"/>
        <v/>
      </c>
      <c r="E141" s="214"/>
      <c r="F141" s="214"/>
      <c r="G141" s="213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23"/>
      <c r="AJ141" s="180" t="str">
        <f>IF(Input!P140&lt;&gt;"",Input!P140,"")</f>
        <v/>
      </c>
      <c r="AK141" s="173" t="str">
        <f>IF(Input!Q140&lt;&gt;"",Input!Q140,"")</f>
        <v/>
      </c>
      <c r="AY141" s="178"/>
    </row>
    <row r="142" spans="2:51" ht="15" thickBot="1" x14ac:dyDescent="0.35">
      <c r="B142" s="210" t="str">
        <f t="shared" si="24"/>
        <v/>
      </c>
      <c r="C142" s="210" t="str">
        <f t="shared" si="25"/>
        <v/>
      </c>
      <c r="D142" s="210" t="str">
        <f t="shared" si="26"/>
        <v/>
      </c>
      <c r="E142" s="214"/>
      <c r="F142" s="214"/>
      <c r="G142" s="213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23"/>
      <c r="AJ142" s="180" t="str">
        <f>IF(Input!P141&lt;&gt;"",Input!P141,"")</f>
        <v/>
      </c>
      <c r="AK142" s="173" t="str">
        <f>IF(Input!Q141&lt;&gt;"",Input!Q141,"")</f>
        <v/>
      </c>
      <c r="AY142" s="178"/>
    </row>
    <row r="143" spans="2:51" ht="15" thickBot="1" x14ac:dyDescent="0.35">
      <c r="B143" s="210" t="str">
        <f t="shared" si="24"/>
        <v/>
      </c>
      <c r="C143" s="210" t="str">
        <f t="shared" si="25"/>
        <v/>
      </c>
      <c r="D143" s="210" t="str">
        <f t="shared" si="26"/>
        <v/>
      </c>
      <c r="E143" s="214"/>
      <c r="F143" s="214"/>
      <c r="G143" s="213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23"/>
      <c r="AJ143" s="180" t="str">
        <f>IF(Input!P142&lt;&gt;"",Input!P142,"")</f>
        <v/>
      </c>
      <c r="AK143" s="173" t="str">
        <f>IF(Input!Q142&lt;&gt;"",Input!Q142,"")</f>
        <v/>
      </c>
      <c r="AY143" s="178"/>
    </row>
    <row r="144" spans="2:51" ht="15" thickBot="1" x14ac:dyDescent="0.35">
      <c r="B144" s="210" t="str">
        <f t="shared" si="24"/>
        <v/>
      </c>
      <c r="C144" s="210" t="str">
        <f t="shared" si="25"/>
        <v/>
      </c>
      <c r="D144" s="210" t="str">
        <f t="shared" si="26"/>
        <v/>
      </c>
      <c r="E144" s="214"/>
      <c r="F144" s="214"/>
      <c r="G144" s="213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23"/>
      <c r="AJ144" s="180" t="str">
        <f>IF(Input!P143&lt;&gt;"",Input!P143,"")</f>
        <v/>
      </c>
      <c r="AK144" s="173" t="str">
        <f>IF(Input!Q143&lt;&gt;"",Input!Q143,"")</f>
        <v/>
      </c>
      <c r="AY144" s="178"/>
    </row>
    <row r="145" spans="2:51" ht="15" thickBot="1" x14ac:dyDescent="0.35">
      <c r="B145" s="210" t="str">
        <f t="shared" si="24"/>
        <v/>
      </c>
      <c r="C145" s="210" t="str">
        <f t="shared" si="25"/>
        <v/>
      </c>
      <c r="D145" s="210" t="str">
        <f t="shared" si="26"/>
        <v/>
      </c>
      <c r="E145" s="214"/>
      <c r="F145" s="214"/>
      <c r="G145" s="213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23"/>
      <c r="AJ145" s="180" t="str">
        <f>IF(Input!P144&lt;&gt;"",Input!P144,"")</f>
        <v/>
      </c>
      <c r="AK145" s="173" t="str">
        <f>IF(Input!Q144&lt;&gt;"",Input!Q144,"")</f>
        <v/>
      </c>
      <c r="AY145" s="178"/>
    </row>
    <row r="146" spans="2:51" ht="15" thickBot="1" x14ac:dyDescent="0.35">
      <c r="B146" s="210" t="str">
        <f t="shared" si="24"/>
        <v/>
      </c>
      <c r="C146" s="210" t="str">
        <f t="shared" si="25"/>
        <v/>
      </c>
      <c r="D146" s="210" t="str">
        <f t="shared" si="26"/>
        <v/>
      </c>
      <c r="E146" s="214"/>
      <c r="F146" s="214"/>
      <c r="G146" s="213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23"/>
      <c r="AJ146" s="180" t="str">
        <f>IF(Input!P145&lt;&gt;"",Input!P145,"")</f>
        <v/>
      </c>
      <c r="AK146" s="173" t="str">
        <f>IF(Input!Q145&lt;&gt;"",Input!Q145,"")</f>
        <v/>
      </c>
      <c r="AY146" s="178"/>
    </row>
    <row r="147" spans="2:51" ht="15" thickBot="1" x14ac:dyDescent="0.35">
      <c r="B147" s="210" t="str">
        <f t="shared" si="24"/>
        <v/>
      </c>
      <c r="C147" s="210" t="str">
        <f t="shared" si="25"/>
        <v/>
      </c>
      <c r="D147" s="210" t="str">
        <f t="shared" si="26"/>
        <v/>
      </c>
      <c r="E147" s="214"/>
      <c r="F147" s="214"/>
      <c r="G147" s="213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23"/>
      <c r="AJ147" s="180" t="str">
        <f>IF(Input!P146&lt;&gt;"",Input!P146,"")</f>
        <v/>
      </c>
      <c r="AK147" s="173" t="str">
        <f>IF(Input!Q146&lt;&gt;"",Input!Q146,"")</f>
        <v/>
      </c>
      <c r="AY147" s="178"/>
    </row>
    <row r="148" spans="2:51" ht="15" thickBot="1" x14ac:dyDescent="0.35">
      <c r="B148" s="210" t="str">
        <f t="shared" si="24"/>
        <v/>
      </c>
      <c r="C148" s="210" t="str">
        <f t="shared" si="25"/>
        <v/>
      </c>
      <c r="D148" s="210" t="str">
        <f t="shared" si="26"/>
        <v/>
      </c>
      <c r="E148" s="214"/>
      <c r="F148" s="214"/>
      <c r="G148" s="213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23"/>
      <c r="AJ148" s="180" t="str">
        <f>IF(Input!P147&lt;&gt;"",Input!P147,"")</f>
        <v/>
      </c>
      <c r="AK148" s="173" t="str">
        <f>IF(Input!Q147&lt;&gt;"",Input!Q147,"")</f>
        <v/>
      </c>
      <c r="AY148" s="178"/>
    </row>
    <row r="149" spans="2:51" ht="15" thickBot="1" x14ac:dyDescent="0.35">
      <c r="B149" s="210" t="str">
        <f t="shared" si="24"/>
        <v/>
      </c>
      <c r="C149" s="210" t="str">
        <f t="shared" si="25"/>
        <v/>
      </c>
      <c r="D149" s="210" t="str">
        <f t="shared" si="26"/>
        <v/>
      </c>
      <c r="E149" s="214"/>
      <c r="F149" s="214"/>
      <c r="G149" s="213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23"/>
      <c r="AJ149" s="180" t="str">
        <f>IF(Input!P148&lt;&gt;"",Input!P148,"")</f>
        <v/>
      </c>
      <c r="AK149" s="173" t="str">
        <f>IF(Input!Q148&lt;&gt;"",Input!Q148,"")</f>
        <v/>
      </c>
      <c r="AY149" s="178"/>
    </row>
    <row r="150" spans="2:51" ht="15" thickBot="1" x14ac:dyDescent="0.35">
      <c r="B150" s="210" t="str">
        <f t="shared" si="24"/>
        <v/>
      </c>
      <c r="C150" s="210" t="str">
        <f t="shared" si="25"/>
        <v/>
      </c>
      <c r="D150" s="210" t="str">
        <f t="shared" si="26"/>
        <v/>
      </c>
      <c r="E150" s="214"/>
      <c r="F150" s="214"/>
      <c r="G150" s="213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23"/>
      <c r="AJ150" s="180" t="str">
        <f>IF(Input!P149&lt;&gt;"",Input!P149,"")</f>
        <v/>
      </c>
      <c r="AK150" s="173" t="str">
        <f>IF(Input!Q149&lt;&gt;"",Input!Q149,"")</f>
        <v/>
      </c>
      <c r="AY150" s="178"/>
    </row>
    <row r="151" spans="2:51" ht="15" thickBot="1" x14ac:dyDescent="0.35">
      <c r="B151" s="210" t="str">
        <f t="shared" si="24"/>
        <v/>
      </c>
      <c r="C151" s="210" t="str">
        <f t="shared" si="25"/>
        <v/>
      </c>
      <c r="D151" s="210" t="str">
        <f t="shared" si="26"/>
        <v/>
      </c>
      <c r="E151" s="214"/>
      <c r="F151" s="214"/>
      <c r="G151" s="213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23"/>
      <c r="AJ151" s="180" t="str">
        <f>IF(Input!P150&lt;&gt;"",Input!P150,"")</f>
        <v/>
      </c>
      <c r="AK151" s="173" t="str">
        <f>IF(Input!Q150&lt;&gt;"",Input!Q150,"")</f>
        <v/>
      </c>
      <c r="AY151" s="178"/>
    </row>
    <row r="152" spans="2:51" ht="15" thickBot="1" x14ac:dyDescent="0.35">
      <c r="B152" s="210" t="str">
        <f t="shared" si="24"/>
        <v/>
      </c>
      <c r="C152" s="210" t="str">
        <f t="shared" si="25"/>
        <v/>
      </c>
      <c r="D152" s="210" t="str">
        <f t="shared" si="26"/>
        <v/>
      </c>
      <c r="E152" s="214"/>
      <c r="F152" s="214"/>
      <c r="G152" s="213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23"/>
      <c r="AJ152" s="180" t="str">
        <f>IF(Input!P151&lt;&gt;"",Input!P151,"")</f>
        <v/>
      </c>
      <c r="AK152" s="173" t="str">
        <f>IF(Input!Q151&lt;&gt;"",Input!Q151,"")</f>
        <v/>
      </c>
      <c r="AY152" s="178"/>
    </row>
    <row r="153" spans="2:51" ht="15" thickBot="1" x14ac:dyDescent="0.35">
      <c r="B153" s="210" t="str">
        <f t="shared" si="24"/>
        <v/>
      </c>
      <c r="C153" s="210" t="str">
        <f t="shared" si="25"/>
        <v/>
      </c>
      <c r="D153" s="210" t="str">
        <f t="shared" si="26"/>
        <v/>
      </c>
      <c r="E153" s="214"/>
      <c r="F153" s="214"/>
      <c r="G153" s="213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23"/>
      <c r="AJ153" s="180" t="str">
        <f>IF(Input!P152&lt;&gt;"",Input!P152,"")</f>
        <v/>
      </c>
      <c r="AK153" s="173" t="str">
        <f>IF(Input!Q152&lt;&gt;"",Input!Q152,"")</f>
        <v/>
      </c>
      <c r="AY153" s="178"/>
    </row>
    <row r="154" spans="2:51" ht="15" thickBot="1" x14ac:dyDescent="0.35">
      <c r="B154" s="210" t="str">
        <f t="shared" si="24"/>
        <v/>
      </c>
      <c r="C154" s="210" t="str">
        <f t="shared" si="25"/>
        <v/>
      </c>
      <c r="D154" s="210" t="str">
        <f t="shared" si="26"/>
        <v/>
      </c>
      <c r="E154" s="214"/>
      <c r="F154" s="214"/>
      <c r="G154" s="213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23"/>
      <c r="AJ154" s="180" t="str">
        <f>IF(Input!P153&lt;&gt;"",Input!P153,"")</f>
        <v/>
      </c>
      <c r="AK154" s="173" t="str">
        <f>IF(Input!Q153&lt;&gt;"",Input!Q153,"")</f>
        <v/>
      </c>
      <c r="AY154" s="178"/>
    </row>
    <row r="155" spans="2:51" ht="15" thickBot="1" x14ac:dyDescent="0.35">
      <c r="B155" s="210" t="str">
        <f t="shared" si="24"/>
        <v/>
      </c>
      <c r="C155" s="210" t="str">
        <f t="shared" si="25"/>
        <v/>
      </c>
      <c r="D155" s="210" t="str">
        <f t="shared" si="26"/>
        <v/>
      </c>
      <c r="E155" s="214"/>
      <c r="F155" s="214"/>
      <c r="G155" s="213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23"/>
      <c r="AJ155" s="180" t="str">
        <f>IF(Input!P154&lt;&gt;"",Input!P154,"")</f>
        <v/>
      </c>
      <c r="AK155" s="173" t="str">
        <f>IF(Input!Q154&lt;&gt;"",Input!Q154,"")</f>
        <v/>
      </c>
      <c r="AY155" s="178"/>
    </row>
    <row r="156" spans="2:51" ht="15" thickBot="1" x14ac:dyDescent="0.35">
      <c r="B156" s="210" t="str">
        <f t="shared" si="24"/>
        <v/>
      </c>
      <c r="C156" s="210" t="str">
        <f t="shared" si="25"/>
        <v/>
      </c>
      <c r="D156" s="210" t="str">
        <f t="shared" si="26"/>
        <v/>
      </c>
      <c r="E156" s="214"/>
      <c r="F156" s="214"/>
      <c r="G156" s="213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23"/>
      <c r="AJ156" s="180" t="str">
        <f>IF(Input!P155&lt;&gt;"",Input!P155,"")</f>
        <v/>
      </c>
      <c r="AK156" s="173" t="str">
        <f>IF(Input!Q155&lt;&gt;"",Input!Q155,"")</f>
        <v/>
      </c>
      <c r="AY156" s="178"/>
    </row>
    <row r="157" spans="2:51" ht="15" thickBot="1" x14ac:dyDescent="0.35">
      <c r="B157" s="210" t="str">
        <f t="shared" si="24"/>
        <v/>
      </c>
      <c r="C157" s="210" t="str">
        <f t="shared" si="25"/>
        <v/>
      </c>
      <c r="D157" s="210" t="str">
        <f t="shared" si="26"/>
        <v/>
      </c>
      <c r="E157" s="214"/>
      <c r="F157" s="214"/>
      <c r="G157" s="213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23"/>
      <c r="AJ157" s="180" t="str">
        <f>IF(Input!P156&lt;&gt;"",Input!P156,"")</f>
        <v/>
      </c>
      <c r="AK157" s="173" t="str">
        <f>IF(Input!Q156&lt;&gt;"",Input!Q156,"")</f>
        <v/>
      </c>
      <c r="AY157" s="178"/>
    </row>
    <row r="158" spans="2:51" ht="15" thickBot="1" x14ac:dyDescent="0.35">
      <c r="B158" s="210" t="str">
        <f t="shared" si="24"/>
        <v/>
      </c>
      <c r="C158" s="210" t="str">
        <f t="shared" si="25"/>
        <v/>
      </c>
      <c r="D158" s="210" t="str">
        <f t="shared" si="26"/>
        <v/>
      </c>
      <c r="E158" s="214"/>
      <c r="F158" s="214"/>
      <c r="G158" s="213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23"/>
      <c r="AJ158" s="180" t="str">
        <f>IF(Input!P157&lt;&gt;"",Input!P157,"")</f>
        <v/>
      </c>
      <c r="AK158" s="173" t="str">
        <f>IF(Input!Q157&lt;&gt;"",Input!Q157,"")</f>
        <v/>
      </c>
      <c r="AY158" s="178"/>
    </row>
    <row r="159" spans="2:51" ht="15" thickBot="1" x14ac:dyDescent="0.35">
      <c r="B159" s="210" t="str">
        <f t="shared" si="24"/>
        <v/>
      </c>
      <c r="C159" s="210" t="str">
        <f t="shared" si="25"/>
        <v/>
      </c>
      <c r="D159" s="210" t="str">
        <f t="shared" si="26"/>
        <v/>
      </c>
      <c r="E159" s="214"/>
      <c r="F159" s="214"/>
      <c r="G159" s="213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23"/>
      <c r="AJ159" s="180" t="str">
        <f>IF(Input!P158&lt;&gt;"",Input!P158,"")</f>
        <v/>
      </c>
      <c r="AK159" s="173" t="str">
        <f>IF(Input!Q158&lt;&gt;"",Input!Q158,"")</f>
        <v/>
      </c>
      <c r="AY159" s="178"/>
    </row>
    <row r="160" spans="2:51" ht="15" thickBot="1" x14ac:dyDescent="0.35">
      <c r="B160" s="210" t="str">
        <f t="shared" si="24"/>
        <v/>
      </c>
      <c r="C160" s="210" t="str">
        <f t="shared" si="25"/>
        <v/>
      </c>
      <c r="D160" s="210" t="str">
        <f t="shared" si="26"/>
        <v/>
      </c>
      <c r="E160" s="214"/>
      <c r="F160" s="214"/>
      <c r="G160" s="213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23"/>
      <c r="AJ160" s="180" t="str">
        <f>IF(Input!P159&lt;&gt;"",Input!P159,"")</f>
        <v/>
      </c>
      <c r="AK160" s="173" t="str">
        <f>IF(Input!Q159&lt;&gt;"",Input!Q159,"")</f>
        <v/>
      </c>
      <c r="AY160" s="178"/>
    </row>
    <row r="161" spans="2:51" ht="15" thickBot="1" x14ac:dyDescent="0.35">
      <c r="B161" s="210" t="str">
        <f t="shared" si="24"/>
        <v/>
      </c>
      <c r="C161" s="210" t="str">
        <f t="shared" si="25"/>
        <v/>
      </c>
      <c r="D161" s="210" t="str">
        <f t="shared" si="26"/>
        <v/>
      </c>
      <c r="E161" s="214"/>
      <c r="F161" s="214"/>
      <c r="G161" s="213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23"/>
      <c r="AJ161" s="182" t="str">
        <f>IF(Input!P160&lt;&gt;"",Input!P160,"")</f>
        <v/>
      </c>
      <c r="AK161" s="183" t="str">
        <f>IF(Input!Q160&lt;&gt;"",Input!Q160,"")</f>
        <v/>
      </c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3"/>
      <c r="AW161" s="93"/>
      <c r="AX161" s="93"/>
      <c r="AY161" s="94"/>
    </row>
    <row r="162" spans="2:51" ht="15" thickBot="1" x14ac:dyDescent="0.35">
      <c r="B162" s="210" t="str">
        <f t="shared" si="24"/>
        <v/>
      </c>
      <c r="C162" s="210" t="str">
        <f t="shared" si="25"/>
        <v/>
      </c>
      <c r="D162" s="210" t="str">
        <f t="shared" si="26"/>
        <v/>
      </c>
      <c r="E162" s="214"/>
      <c r="F162" s="214"/>
      <c r="G162" s="213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23"/>
      <c r="AJ162" s="104" t="str">
        <f>IF(Input!P162&lt;&gt;"",Input!P162,"")</f>
        <v/>
      </c>
      <c r="AK162" s="104"/>
    </row>
    <row r="163" spans="2:51" ht="15" thickBot="1" x14ac:dyDescent="0.35">
      <c r="B163" s="210" t="str">
        <f t="shared" si="24"/>
        <v/>
      </c>
      <c r="C163" s="210" t="str">
        <f t="shared" si="25"/>
        <v/>
      </c>
      <c r="D163" s="210" t="str">
        <f t="shared" si="26"/>
        <v/>
      </c>
      <c r="E163" s="214"/>
      <c r="F163" s="214"/>
      <c r="G163" s="213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23"/>
      <c r="AJ163" s="104" t="str">
        <f>IF(Input!P163&lt;&gt;"",Input!P163,"")</f>
        <v/>
      </c>
      <c r="AK163" s="104"/>
    </row>
    <row r="164" spans="2:51" ht="15" thickBot="1" x14ac:dyDescent="0.35">
      <c r="B164" s="210" t="str">
        <f t="shared" ref="B164:B195" si="27">IF(AJ100&lt;&gt;"", AJ100, "")</f>
        <v/>
      </c>
      <c r="C164" s="210" t="str">
        <f t="shared" ref="C164:C195" si="28">IF(AK100&lt;&gt;"", AK100, "")</f>
        <v/>
      </c>
      <c r="D164" s="210" t="str">
        <f t="shared" si="26"/>
        <v/>
      </c>
      <c r="E164" s="214"/>
      <c r="F164" s="214"/>
      <c r="G164" s="213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23"/>
      <c r="AJ164" s="104" t="str">
        <f>IF(Input!P164&lt;&gt;"",Input!P164,"")</f>
        <v/>
      </c>
      <c r="AK164" s="104"/>
    </row>
    <row r="165" spans="2:51" ht="15" thickBot="1" x14ac:dyDescent="0.35">
      <c r="B165" s="210" t="str">
        <f t="shared" si="27"/>
        <v/>
      </c>
      <c r="C165" s="210" t="str">
        <f t="shared" si="28"/>
        <v/>
      </c>
      <c r="D165" s="210" t="str">
        <f t="shared" si="26"/>
        <v/>
      </c>
      <c r="E165" s="214"/>
      <c r="F165" s="214"/>
      <c r="G165" s="213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23"/>
      <c r="AJ165" s="104" t="str">
        <f>IF(Input!P165&lt;&gt;"",Input!P165,"")</f>
        <v/>
      </c>
      <c r="AK165" s="104"/>
    </row>
    <row r="166" spans="2:51" ht="15" thickBot="1" x14ac:dyDescent="0.35">
      <c r="B166" s="210" t="str">
        <f t="shared" si="27"/>
        <v/>
      </c>
      <c r="C166" s="210" t="str">
        <f t="shared" si="28"/>
        <v/>
      </c>
      <c r="D166" s="210" t="str">
        <f t="shared" si="26"/>
        <v/>
      </c>
      <c r="E166" s="214"/>
      <c r="F166" s="214"/>
      <c r="G166" s="213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23"/>
      <c r="AJ166" s="104" t="str">
        <f>IF(Input!P166&lt;&gt;"",Input!P166,"")</f>
        <v/>
      </c>
      <c r="AK166" s="104"/>
    </row>
    <row r="167" spans="2:51" ht="15" thickBot="1" x14ac:dyDescent="0.35">
      <c r="B167" s="210" t="str">
        <f t="shared" si="27"/>
        <v/>
      </c>
      <c r="C167" s="210" t="str">
        <f t="shared" si="28"/>
        <v/>
      </c>
      <c r="D167" s="210" t="str">
        <f t="shared" si="26"/>
        <v/>
      </c>
      <c r="E167" s="214"/>
      <c r="F167" s="214"/>
      <c r="G167" s="213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23"/>
      <c r="AJ167" s="104" t="str">
        <f>IF(Input!P167&lt;&gt;"",Input!P167,"")</f>
        <v/>
      </c>
      <c r="AK167" s="104"/>
    </row>
    <row r="168" spans="2:51" ht="15" thickBot="1" x14ac:dyDescent="0.35">
      <c r="B168" s="210" t="str">
        <f t="shared" si="27"/>
        <v/>
      </c>
      <c r="C168" s="210" t="str">
        <f t="shared" si="28"/>
        <v/>
      </c>
      <c r="D168" s="210" t="str">
        <f t="shared" si="26"/>
        <v/>
      </c>
      <c r="E168" s="214"/>
      <c r="F168" s="214"/>
      <c r="G168" s="213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23"/>
      <c r="AJ168" s="104" t="str">
        <f>IF(Input!P168&lt;&gt;"",Input!P168,"")</f>
        <v/>
      </c>
      <c r="AK168" s="104"/>
    </row>
    <row r="169" spans="2:51" ht="15" thickBot="1" x14ac:dyDescent="0.35">
      <c r="B169" s="210" t="str">
        <f t="shared" si="27"/>
        <v/>
      </c>
      <c r="C169" s="210" t="str">
        <f t="shared" si="28"/>
        <v/>
      </c>
      <c r="D169" s="210" t="str">
        <f t="shared" si="26"/>
        <v/>
      </c>
      <c r="E169" s="214"/>
      <c r="F169" s="214"/>
      <c r="G169" s="213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23"/>
      <c r="AJ169" s="104" t="str">
        <f>IF(Input!P169&lt;&gt;"",Input!P169,"")</f>
        <v/>
      </c>
      <c r="AK169" s="104"/>
    </row>
    <row r="170" spans="2:51" ht="15" thickBot="1" x14ac:dyDescent="0.35">
      <c r="B170" s="210" t="str">
        <f t="shared" si="27"/>
        <v/>
      </c>
      <c r="C170" s="210" t="str">
        <f t="shared" si="28"/>
        <v/>
      </c>
      <c r="D170" s="210" t="str">
        <f t="shared" si="26"/>
        <v/>
      </c>
      <c r="E170" s="214"/>
      <c r="F170" s="214"/>
      <c r="G170" s="213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23"/>
      <c r="AJ170" s="104" t="str">
        <f>IF(Input!P170&lt;&gt;"",Input!P170,"")</f>
        <v/>
      </c>
      <c r="AK170" s="104"/>
    </row>
    <row r="171" spans="2:51" ht="15" thickBot="1" x14ac:dyDescent="0.35">
      <c r="B171" s="210" t="str">
        <f t="shared" si="27"/>
        <v/>
      </c>
      <c r="C171" s="210" t="str">
        <f t="shared" si="28"/>
        <v/>
      </c>
      <c r="D171" s="210" t="str">
        <f t="shared" si="26"/>
        <v/>
      </c>
      <c r="E171" s="214"/>
      <c r="F171" s="214"/>
      <c r="G171" s="213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23"/>
      <c r="AJ171" s="104" t="str">
        <f>IF(Input!P171&lt;&gt;"",Input!P171,"")</f>
        <v/>
      </c>
      <c r="AK171" s="104"/>
    </row>
    <row r="172" spans="2:51" ht="15" thickBot="1" x14ac:dyDescent="0.35">
      <c r="B172" s="210" t="str">
        <f t="shared" si="27"/>
        <v/>
      </c>
      <c r="C172" s="210" t="str">
        <f t="shared" si="28"/>
        <v/>
      </c>
      <c r="D172" s="210" t="str">
        <f t="shared" si="26"/>
        <v/>
      </c>
      <c r="E172" s="214"/>
      <c r="F172" s="214"/>
      <c r="G172" s="213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23"/>
      <c r="AJ172" s="104" t="str">
        <f>IF(Input!P172&lt;&gt;"",Input!P172,"")</f>
        <v/>
      </c>
      <c r="AK172" s="104"/>
    </row>
    <row r="173" spans="2:51" ht="15" thickBot="1" x14ac:dyDescent="0.35">
      <c r="B173" s="210" t="str">
        <f t="shared" si="27"/>
        <v/>
      </c>
      <c r="C173" s="210" t="str">
        <f t="shared" si="28"/>
        <v/>
      </c>
      <c r="D173" s="210" t="str">
        <f t="shared" si="26"/>
        <v/>
      </c>
      <c r="E173" s="214"/>
      <c r="F173" s="214"/>
      <c r="G173" s="213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23"/>
      <c r="AJ173" s="104" t="str">
        <f>IF(Input!P173&lt;&gt;"",Input!P173,"")</f>
        <v/>
      </c>
      <c r="AK173" s="104"/>
    </row>
    <row r="174" spans="2:51" ht="15" thickBot="1" x14ac:dyDescent="0.35">
      <c r="B174" s="210" t="str">
        <f t="shared" si="27"/>
        <v/>
      </c>
      <c r="C174" s="210" t="str">
        <f t="shared" si="28"/>
        <v/>
      </c>
      <c r="D174" s="210" t="str">
        <f t="shared" si="26"/>
        <v/>
      </c>
      <c r="E174" s="214"/>
      <c r="F174" s="214"/>
      <c r="G174" s="213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23"/>
      <c r="AJ174" s="104" t="str">
        <f>IF(Input!P174&lt;&gt;"",Input!P174,"")</f>
        <v/>
      </c>
      <c r="AK174" s="104"/>
    </row>
    <row r="175" spans="2:51" ht="15" thickBot="1" x14ac:dyDescent="0.35">
      <c r="B175" s="210" t="str">
        <f t="shared" si="27"/>
        <v/>
      </c>
      <c r="C175" s="210" t="str">
        <f t="shared" si="28"/>
        <v/>
      </c>
      <c r="D175" s="210" t="str">
        <f t="shared" si="26"/>
        <v/>
      </c>
      <c r="E175" s="214"/>
      <c r="F175" s="214"/>
      <c r="G175" s="213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23"/>
      <c r="AJ175" s="104" t="str">
        <f>IF(Input!P175&lt;&gt;"",Input!P175,"")</f>
        <v/>
      </c>
      <c r="AK175" s="104"/>
    </row>
    <row r="176" spans="2:51" ht="15" thickBot="1" x14ac:dyDescent="0.35">
      <c r="B176" s="210" t="str">
        <f t="shared" si="27"/>
        <v/>
      </c>
      <c r="C176" s="210" t="str">
        <f t="shared" si="28"/>
        <v/>
      </c>
      <c r="D176" s="210" t="str">
        <f t="shared" si="26"/>
        <v/>
      </c>
      <c r="E176" s="214"/>
      <c r="F176" s="214"/>
      <c r="G176" s="213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23"/>
      <c r="AJ176" s="104" t="str">
        <f>IF(Input!P176&lt;&gt;"",Input!P176,"")</f>
        <v/>
      </c>
      <c r="AK176" s="104"/>
    </row>
    <row r="177" spans="2:37" ht="15" thickBot="1" x14ac:dyDescent="0.35">
      <c r="B177" s="210" t="str">
        <f t="shared" si="27"/>
        <v/>
      </c>
      <c r="C177" s="210" t="str">
        <f t="shared" si="28"/>
        <v/>
      </c>
      <c r="D177" s="210" t="str">
        <f t="shared" si="26"/>
        <v/>
      </c>
      <c r="E177" s="214"/>
      <c r="F177" s="214"/>
      <c r="G177" s="213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23"/>
      <c r="AJ177" s="104" t="str">
        <f>IF(Input!P177&lt;&gt;"",Input!P177,"")</f>
        <v/>
      </c>
      <c r="AK177" s="104"/>
    </row>
    <row r="178" spans="2:37" ht="15" thickBot="1" x14ac:dyDescent="0.35">
      <c r="B178" s="210" t="str">
        <f t="shared" si="27"/>
        <v/>
      </c>
      <c r="C178" s="210" t="str">
        <f t="shared" si="28"/>
        <v/>
      </c>
      <c r="D178" s="210" t="str">
        <f t="shared" si="26"/>
        <v/>
      </c>
      <c r="E178" s="214"/>
      <c r="F178" s="214"/>
      <c r="G178" s="213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23"/>
      <c r="AJ178" s="104" t="str">
        <f>IF(Input!P178&lt;&gt;"",Input!P178,"")</f>
        <v/>
      </c>
      <c r="AK178" s="104"/>
    </row>
    <row r="179" spans="2:37" ht="15" thickBot="1" x14ac:dyDescent="0.35">
      <c r="B179" s="210" t="str">
        <f t="shared" si="27"/>
        <v/>
      </c>
      <c r="C179" s="210" t="str">
        <f t="shared" si="28"/>
        <v/>
      </c>
      <c r="D179" s="210" t="str">
        <f t="shared" si="26"/>
        <v/>
      </c>
      <c r="E179" s="214"/>
      <c r="F179" s="214"/>
      <c r="G179" s="213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23"/>
      <c r="AJ179" s="104" t="str">
        <f>IF(Input!P179&lt;&gt;"",Input!P179,"")</f>
        <v/>
      </c>
      <c r="AK179" s="104"/>
    </row>
    <row r="180" spans="2:37" ht="15" thickBot="1" x14ac:dyDescent="0.35">
      <c r="B180" s="210" t="str">
        <f t="shared" si="27"/>
        <v/>
      </c>
      <c r="C180" s="210" t="str">
        <f t="shared" si="28"/>
        <v/>
      </c>
      <c r="D180" s="210" t="str">
        <f t="shared" si="26"/>
        <v/>
      </c>
      <c r="E180" s="214"/>
      <c r="F180" s="214"/>
      <c r="G180" s="213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23"/>
      <c r="AJ180" s="104" t="str">
        <f>IF(Input!P180&lt;&gt;"",Input!P180,"")</f>
        <v/>
      </c>
      <c r="AK180" s="104"/>
    </row>
    <row r="181" spans="2:37" ht="15" thickBot="1" x14ac:dyDescent="0.35">
      <c r="B181" s="210" t="str">
        <f t="shared" si="27"/>
        <v/>
      </c>
      <c r="C181" s="210" t="str">
        <f t="shared" si="28"/>
        <v/>
      </c>
      <c r="D181" s="210" t="str">
        <f t="shared" si="26"/>
        <v/>
      </c>
      <c r="E181" s="214"/>
      <c r="F181" s="214"/>
      <c r="G181" s="213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23"/>
      <c r="AJ181" s="104" t="str">
        <f>IF(Input!P181&lt;&gt;"",Input!P181,"")</f>
        <v/>
      </c>
      <c r="AK181" s="104"/>
    </row>
    <row r="182" spans="2:37" ht="15" thickBot="1" x14ac:dyDescent="0.35">
      <c r="B182" s="210" t="str">
        <f t="shared" si="27"/>
        <v/>
      </c>
      <c r="C182" s="210" t="str">
        <f t="shared" si="28"/>
        <v/>
      </c>
      <c r="D182" s="210" t="str">
        <f t="shared" si="26"/>
        <v/>
      </c>
      <c r="E182" s="214"/>
      <c r="F182" s="214"/>
      <c r="G182" s="213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23"/>
      <c r="AJ182" s="104" t="str">
        <f>IF(Input!P182&lt;&gt;"",Input!P182,"")</f>
        <v/>
      </c>
      <c r="AK182" s="104"/>
    </row>
    <row r="183" spans="2:37" ht="15" thickBot="1" x14ac:dyDescent="0.35">
      <c r="B183" s="210" t="str">
        <f t="shared" si="27"/>
        <v/>
      </c>
      <c r="C183" s="210" t="str">
        <f t="shared" si="28"/>
        <v/>
      </c>
      <c r="D183" s="210" t="str">
        <f t="shared" si="26"/>
        <v/>
      </c>
      <c r="E183" s="214"/>
      <c r="F183" s="214"/>
      <c r="G183" s="213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23"/>
      <c r="AJ183" s="104" t="str">
        <f>IF(Input!P183&lt;&gt;"",Input!P183,"")</f>
        <v/>
      </c>
      <c r="AK183" s="104"/>
    </row>
    <row r="184" spans="2:37" ht="15" thickBot="1" x14ac:dyDescent="0.35">
      <c r="B184" s="210" t="str">
        <f t="shared" si="27"/>
        <v/>
      </c>
      <c r="C184" s="210" t="str">
        <f t="shared" si="28"/>
        <v/>
      </c>
      <c r="D184" s="210" t="str">
        <f t="shared" si="26"/>
        <v/>
      </c>
      <c r="E184" s="214"/>
      <c r="F184" s="214"/>
      <c r="G184" s="213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23"/>
      <c r="AJ184" s="104" t="str">
        <f>IF(Input!P184&lt;&gt;"",Input!P184,"")</f>
        <v/>
      </c>
      <c r="AK184" s="104"/>
    </row>
    <row r="185" spans="2:37" ht="15" thickBot="1" x14ac:dyDescent="0.35">
      <c r="B185" s="210" t="str">
        <f t="shared" si="27"/>
        <v/>
      </c>
      <c r="C185" s="210" t="str">
        <f t="shared" si="28"/>
        <v/>
      </c>
      <c r="D185" s="210" t="str">
        <f t="shared" si="26"/>
        <v/>
      </c>
      <c r="E185" s="214"/>
      <c r="F185" s="214"/>
      <c r="G185" s="213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23"/>
      <c r="AJ185" s="104" t="str">
        <f>IF(Input!P185&lt;&gt;"",Input!P185,"")</f>
        <v/>
      </c>
      <c r="AK185" s="104"/>
    </row>
    <row r="186" spans="2:37" ht="15" thickBot="1" x14ac:dyDescent="0.35">
      <c r="B186" s="210" t="str">
        <f t="shared" si="27"/>
        <v/>
      </c>
      <c r="C186" s="210" t="str">
        <f t="shared" si="28"/>
        <v/>
      </c>
      <c r="D186" s="210" t="str">
        <f t="shared" si="26"/>
        <v/>
      </c>
      <c r="E186" s="214"/>
      <c r="F186" s="214"/>
      <c r="G186" s="213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23"/>
      <c r="AJ186" s="104" t="str">
        <f>IF(Input!P186&lt;&gt;"",Input!P186,"")</f>
        <v/>
      </c>
      <c r="AK186" s="104"/>
    </row>
    <row r="187" spans="2:37" ht="15" thickBot="1" x14ac:dyDescent="0.35">
      <c r="B187" s="210" t="str">
        <f t="shared" si="27"/>
        <v/>
      </c>
      <c r="C187" s="210" t="str">
        <f t="shared" si="28"/>
        <v/>
      </c>
      <c r="D187" s="210" t="str">
        <f t="shared" si="26"/>
        <v/>
      </c>
      <c r="E187" s="214"/>
      <c r="F187" s="214"/>
      <c r="G187" s="213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23"/>
      <c r="AJ187" s="104" t="str">
        <f>IF(Input!P187&lt;&gt;"",Input!P187,"")</f>
        <v/>
      </c>
      <c r="AK187" s="104"/>
    </row>
    <row r="188" spans="2:37" ht="15" thickBot="1" x14ac:dyDescent="0.35">
      <c r="B188" s="210" t="str">
        <f t="shared" si="27"/>
        <v/>
      </c>
      <c r="C188" s="210" t="str">
        <f t="shared" si="28"/>
        <v/>
      </c>
      <c r="D188" s="210" t="str">
        <f t="shared" si="26"/>
        <v/>
      </c>
      <c r="E188" s="214"/>
      <c r="F188" s="214"/>
      <c r="G188" s="213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23"/>
      <c r="AJ188" s="104" t="str">
        <f>IF(Input!P188&lt;&gt;"",Input!P188,"")</f>
        <v/>
      </c>
      <c r="AK188" s="104"/>
    </row>
    <row r="189" spans="2:37" ht="15" thickBot="1" x14ac:dyDescent="0.35">
      <c r="B189" s="210" t="str">
        <f t="shared" si="27"/>
        <v/>
      </c>
      <c r="C189" s="210" t="str">
        <f t="shared" si="28"/>
        <v/>
      </c>
      <c r="D189" s="210" t="str">
        <f t="shared" si="26"/>
        <v/>
      </c>
      <c r="E189" s="214"/>
      <c r="F189" s="214"/>
      <c r="G189" s="213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23"/>
      <c r="AJ189" s="104" t="str">
        <f>IF(Input!P189&lt;&gt;"",Input!P189,"")</f>
        <v/>
      </c>
      <c r="AK189" s="104"/>
    </row>
    <row r="190" spans="2:37" ht="15" thickBot="1" x14ac:dyDescent="0.35">
      <c r="B190" s="210" t="str">
        <f t="shared" si="27"/>
        <v/>
      </c>
      <c r="C190" s="210" t="str">
        <f t="shared" si="28"/>
        <v/>
      </c>
      <c r="D190" s="210" t="str">
        <f t="shared" si="26"/>
        <v/>
      </c>
      <c r="E190" s="214"/>
      <c r="F190" s="214"/>
      <c r="G190" s="213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23"/>
      <c r="AJ190" s="104" t="str">
        <f>IF(Input!P190&lt;&gt;"",Input!P190,"")</f>
        <v/>
      </c>
      <c r="AK190" s="104"/>
    </row>
    <row r="191" spans="2:37" ht="15" thickBot="1" x14ac:dyDescent="0.35">
      <c r="B191" s="210" t="str">
        <f t="shared" si="27"/>
        <v/>
      </c>
      <c r="C191" s="210" t="str">
        <f t="shared" si="28"/>
        <v/>
      </c>
      <c r="D191" s="210" t="str">
        <f t="shared" si="26"/>
        <v/>
      </c>
      <c r="E191" s="214"/>
      <c r="F191" s="214"/>
      <c r="G191" s="213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23"/>
      <c r="AJ191" s="104" t="str">
        <f>IF(Input!P191&lt;&gt;"",Input!P191,"")</f>
        <v/>
      </c>
      <c r="AK191" s="104"/>
    </row>
    <row r="192" spans="2:37" ht="14.5" thickBot="1" x14ac:dyDescent="0.35">
      <c r="B192" s="210" t="str">
        <f t="shared" si="27"/>
        <v/>
      </c>
      <c r="C192" s="210" t="str">
        <f t="shared" si="28"/>
        <v/>
      </c>
      <c r="D192" s="210" t="str">
        <f t="shared" si="26"/>
        <v/>
      </c>
      <c r="E192" s="214"/>
      <c r="F192" s="214"/>
      <c r="G192" s="213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23"/>
    </row>
    <row r="193" spans="2:23" ht="14.5" thickBot="1" x14ac:dyDescent="0.35">
      <c r="B193" s="210" t="str">
        <f t="shared" si="27"/>
        <v/>
      </c>
      <c r="C193" s="210" t="str">
        <f t="shared" si="28"/>
        <v/>
      </c>
      <c r="D193" s="210" t="str">
        <f t="shared" si="26"/>
        <v/>
      </c>
      <c r="E193" s="214"/>
      <c r="F193" s="214"/>
      <c r="G193" s="213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23"/>
    </row>
    <row r="194" spans="2:23" ht="14.5" thickBot="1" x14ac:dyDescent="0.35">
      <c r="B194" s="210" t="str">
        <f t="shared" si="27"/>
        <v/>
      </c>
      <c r="C194" s="210" t="str">
        <f t="shared" si="28"/>
        <v/>
      </c>
      <c r="D194" s="210" t="str">
        <f t="shared" si="26"/>
        <v/>
      </c>
      <c r="E194" s="214"/>
      <c r="F194" s="214"/>
      <c r="G194" s="213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23"/>
    </row>
    <row r="195" spans="2:23" ht="14.5" thickBot="1" x14ac:dyDescent="0.35">
      <c r="B195" s="210" t="str">
        <f t="shared" si="27"/>
        <v/>
      </c>
      <c r="C195" s="210" t="str">
        <f t="shared" si="28"/>
        <v/>
      </c>
      <c r="D195" s="210" t="str">
        <f t="shared" si="26"/>
        <v/>
      </c>
      <c r="E195" s="214"/>
      <c r="F195" s="214"/>
      <c r="G195" s="213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23"/>
    </row>
    <row r="196" spans="2:23" ht="14.5" thickBot="1" x14ac:dyDescent="0.35">
      <c r="B196" s="210" t="str">
        <f t="shared" ref="B196:B224" si="29">IF(AJ132&lt;&gt;"", AJ132, "")</f>
        <v/>
      </c>
      <c r="C196" s="210" t="str">
        <f t="shared" ref="C196:C224" si="30">IF(AK132&lt;&gt;"", AK132, "")</f>
        <v/>
      </c>
      <c r="D196" s="210" t="str">
        <f t="shared" si="26"/>
        <v/>
      </c>
      <c r="E196" s="214"/>
      <c r="F196" s="214"/>
      <c r="G196" s="213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23"/>
    </row>
    <row r="197" spans="2:23" ht="14.5" thickBot="1" x14ac:dyDescent="0.35">
      <c r="B197" s="210" t="str">
        <f t="shared" si="29"/>
        <v/>
      </c>
      <c r="C197" s="210" t="str">
        <f t="shared" si="30"/>
        <v/>
      </c>
      <c r="D197" s="210" t="str">
        <f t="shared" si="26"/>
        <v/>
      </c>
      <c r="E197" s="214"/>
      <c r="F197" s="214"/>
      <c r="G197" s="213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23"/>
    </row>
    <row r="198" spans="2:23" ht="14.5" thickBot="1" x14ac:dyDescent="0.35">
      <c r="B198" s="210" t="str">
        <f t="shared" si="29"/>
        <v/>
      </c>
      <c r="C198" s="210" t="str">
        <f t="shared" si="30"/>
        <v/>
      </c>
      <c r="D198" s="210" t="str">
        <f t="shared" ref="D198:D224" si="31">IF(B198&lt;&gt;"", D197+B198,"")</f>
        <v/>
      </c>
      <c r="E198" s="214"/>
      <c r="F198" s="214"/>
      <c r="G198" s="213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23"/>
    </row>
    <row r="199" spans="2:23" ht="14.5" thickBot="1" x14ac:dyDescent="0.35">
      <c r="B199" s="210" t="str">
        <f t="shared" si="29"/>
        <v/>
      </c>
      <c r="C199" s="210" t="str">
        <f t="shared" si="30"/>
        <v/>
      </c>
      <c r="D199" s="210" t="str">
        <f t="shared" si="31"/>
        <v/>
      </c>
      <c r="E199" s="214"/>
      <c r="F199" s="214"/>
      <c r="G199" s="213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23"/>
    </row>
    <row r="200" spans="2:23" ht="14.5" thickBot="1" x14ac:dyDescent="0.35">
      <c r="B200" s="210" t="str">
        <f t="shared" si="29"/>
        <v/>
      </c>
      <c r="C200" s="210" t="str">
        <f t="shared" si="30"/>
        <v/>
      </c>
      <c r="D200" s="210" t="str">
        <f t="shared" si="31"/>
        <v/>
      </c>
      <c r="E200" s="214"/>
      <c r="F200" s="214"/>
      <c r="G200" s="213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23"/>
    </row>
    <row r="201" spans="2:23" ht="14.5" thickBot="1" x14ac:dyDescent="0.35">
      <c r="B201" s="210" t="str">
        <f t="shared" si="29"/>
        <v/>
      </c>
      <c r="C201" s="210" t="str">
        <f t="shared" si="30"/>
        <v/>
      </c>
      <c r="D201" s="210" t="str">
        <f t="shared" si="31"/>
        <v/>
      </c>
      <c r="E201" s="214"/>
      <c r="F201" s="214"/>
      <c r="G201" s="213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23"/>
    </row>
    <row r="202" spans="2:23" ht="14.5" thickBot="1" x14ac:dyDescent="0.35">
      <c r="B202" s="210" t="str">
        <f t="shared" si="29"/>
        <v/>
      </c>
      <c r="C202" s="210" t="str">
        <f t="shared" si="30"/>
        <v/>
      </c>
      <c r="D202" s="210" t="str">
        <f t="shared" si="31"/>
        <v/>
      </c>
      <c r="E202" s="214"/>
      <c r="F202" s="214"/>
      <c r="G202" s="213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23"/>
    </row>
    <row r="203" spans="2:23" ht="14.5" thickBot="1" x14ac:dyDescent="0.35">
      <c r="B203" s="210" t="str">
        <f t="shared" si="29"/>
        <v/>
      </c>
      <c r="C203" s="210" t="str">
        <f t="shared" si="30"/>
        <v/>
      </c>
      <c r="D203" s="210" t="str">
        <f t="shared" si="31"/>
        <v/>
      </c>
      <c r="E203" s="214"/>
      <c r="F203" s="214"/>
      <c r="G203" s="213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23"/>
    </row>
    <row r="204" spans="2:23" ht="14.5" thickBot="1" x14ac:dyDescent="0.35">
      <c r="B204" s="210" t="str">
        <f t="shared" si="29"/>
        <v/>
      </c>
      <c r="C204" s="210" t="str">
        <f t="shared" si="30"/>
        <v/>
      </c>
      <c r="D204" s="210" t="str">
        <f t="shared" si="31"/>
        <v/>
      </c>
      <c r="E204" s="214"/>
      <c r="F204" s="214"/>
      <c r="G204" s="213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23"/>
    </row>
    <row r="205" spans="2:23" ht="14.5" thickBot="1" x14ac:dyDescent="0.35">
      <c r="B205" s="210" t="str">
        <f t="shared" si="29"/>
        <v/>
      </c>
      <c r="C205" s="210" t="str">
        <f t="shared" si="30"/>
        <v/>
      </c>
      <c r="D205" s="210" t="str">
        <f t="shared" si="31"/>
        <v/>
      </c>
      <c r="E205" s="214"/>
      <c r="F205" s="214"/>
      <c r="G205" s="213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23"/>
    </row>
    <row r="206" spans="2:23" ht="14.5" thickBot="1" x14ac:dyDescent="0.35">
      <c r="B206" s="210" t="str">
        <f t="shared" si="29"/>
        <v/>
      </c>
      <c r="C206" s="210" t="str">
        <f t="shared" si="30"/>
        <v/>
      </c>
      <c r="D206" s="210" t="str">
        <f t="shared" si="31"/>
        <v/>
      </c>
      <c r="E206" s="214"/>
      <c r="F206" s="214"/>
      <c r="G206" s="213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23"/>
    </row>
    <row r="207" spans="2:23" ht="14.5" thickBot="1" x14ac:dyDescent="0.35">
      <c r="B207" s="210" t="str">
        <f t="shared" si="29"/>
        <v/>
      </c>
      <c r="C207" s="210" t="str">
        <f t="shared" si="30"/>
        <v/>
      </c>
      <c r="D207" s="210" t="str">
        <f t="shared" si="31"/>
        <v/>
      </c>
      <c r="E207" s="214"/>
      <c r="F207" s="214"/>
      <c r="G207" s="213"/>
      <c r="H207" s="21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23"/>
    </row>
    <row r="208" spans="2:23" ht="14.5" thickBot="1" x14ac:dyDescent="0.35">
      <c r="B208" s="210" t="str">
        <f t="shared" si="29"/>
        <v/>
      </c>
      <c r="C208" s="210" t="str">
        <f t="shared" si="30"/>
        <v/>
      </c>
      <c r="D208" s="210" t="str">
        <f t="shared" si="31"/>
        <v/>
      </c>
      <c r="E208" s="214"/>
      <c r="F208" s="214"/>
      <c r="G208" s="213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23"/>
    </row>
    <row r="209" spans="2:23" ht="14.5" thickBot="1" x14ac:dyDescent="0.35">
      <c r="B209" s="210" t="str">
        <f t="shared" si="29"/>
        <v/>
      </c>
      <c r="C209" s="210" t="str">
        <f t="shared" si="30"/>
        <v/>
      </c>
      <c r="D209" s="210" t="str">
        <f t="shared" si="31"/>
        <v/>
      </c>
      <c r="E209" s="214"/>
      <c r="F209" s="214"/>
      <c r="G209" s="213"/>
      <c r="H209" s="21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23"/>
    </row>
    <row r="210" spans="2:23" ht="14.5" thickBot="1" x14ac:dyDescent="0.35">
      <c r="B210" s="210" t="str">
        <f t="shared" si="29"/>
        <v/>
      </c>
      <c r="C210" s="210" t="str">
        <f t="shared" si="30"/>
        <v/>
      </c>
      <c r="D210" s="210" t="str">
        <f t="shared" si="31"/>
        <v/>
      </c>
      <c r="E210" s="214"/>
      <c r="F210" s="214"/>
      <c r="G210" s="213"/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23"/>
    </row>
    <row r="211" spans="2:23" ht="14.5" thickBot="1" x14ac:dyDescent="0.35">
      <c r="B211" s="210" t="str">
        <f t="shared" si="29"/>
        <v/>
      </c>
      <c r="C211" s="210" t="str">
        <f t="shared" si="30"/>
        <v/>
      </c>
      <c r="D211" s="210" t="str">
        <f t="shared" si="31"/>
        <v/>
      </c>
      <c r="E211" s="214"/>
      <c r="F211" s="214"/>
      <c r="G211" s="213"/>
      <c r="H211" s="21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23"/>
    </row>
    <row r="212" spans="2:23" ht="14.5" thickBot="1" x14ac:dyDescent="0.35">
      <c r="B212" s="210" t="str">
        <f t="shared" si="29"/>
        <v/>
      </c>
      <c r="C212" s="210" t="str">
        <f t="shared" si="30"/>
        <v/>
      </c>
      <c r="D212" s="210" t="str">
        <f t="shared" si="31"/>
        <v/>
      </c>
      <c r="E212" s="214"/>
      <c r="F212" s="214"/>
      <c r="G212" s="213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23"/>
    </row>
    <row r="213" spans="2:23" ht="14.5" thickBot="1" x14ac:dyDescent="0.35">
      <c r="B213" s="210" t="str">
        <f t="shared" si="29"/>
        <v/>
      </c>
      <c r="C213" s="210" t="str">
        <f t="shared" si="30"/>
        <v/>
      </c>
      <c r="D213" s="210" t="str">
        <f t="shared" si="31"/>
        <v/>
      </c>
      <c r="E213" s="214"/>
      <c r="F213" s="214"/>
      <c r="G213" s="213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23"/>
    </row>
    <row r="214" spans="2:23" ht="14.5" thickBot="1" x14ac:dyDescent="0.35">
      <c r="B214" s="210" t="str">
        <f t="shared" si="29"/>
        <v/>
      </c>
      <c r="C214" s="210" t="str">
        <f t="shared" si="30"/>
        <v/>
      </c>
      <c r="D214" s="210" t="str">
        <f t="shared" si="31"/>
        <v/>
      </c>
      <c r="E214" s="214"/>
      <c r="F214" s="214"/>
      <c r="G214" s="213"/>
      <c r="H214" s="21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23"/>
    </row>
    <row r="215" spans="2:23" ht="14.5" thickBot="1" x14ac:dyDescent="0.35">
      <c r="B215" s="210" t="str">
        <f t="shared" si="29"/>
        <v/>
      </c>
      <c r="C215" s="210" t="str">
        <f t="shared" si="30"/>
        <v/>
      </c>
      <c r="D215" s="210" t="str">
        <f t="shared" si="31"/>
        <v/>
      </c>
      <c r="E215" s="214"/>
      <c r="F215" s="214"/>
      <c r="G215" s="213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23"/>
    </row>
    <row r="216" spans="2:23" ht="14.5" thickBot="1" x14ac:dyDescent="0.35">
      <c r="B216" s="210" t="str">
        <f t="shared" si="29"/>
        <v/>
      </c>
      <c r="C216" s="210" t="str">
        <f t="shared" si="30"/>
        <v/>
      </c>
      <c r="D216" s="210" t="str">
        <f t="shared" si="31"/>
        <v/>
      </c>
      <c r="E216" s="214"/>
      <c r="F216" s="214"/>
      <c r="G216" s="213"/>
      <c r="H216" s="21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23"/>
    </row>
    <row r="217" spans="2:23" ht="14.5" thickBot="1" x14ac:dyDescent="0.35">
      <c r="B217" s="210" t="str">
        <f t="shared" si="29"/>
        <v/>
      </c>
      <c r="C217" s="210" t="str">
        <f t="shared" si="30"/>
        <v/>
      </c>
      <c r="D217" s="210" t="str">
        <f t="shared" si="31"/>
        <v/>
      </c>
      <c r="E217" s="214"/>
      <c r="F217" s="214"/>
      <c r="G217" s="213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23"/>
    </row>
    <row r="218" spans="2:23" ht="14.5" thickBot="1" x14ac:dyDescent="0.35">
      <c r="B218" s="210" t="str">
        <f t="shared" si="29"/>
        <v/>
      </c>
      <c r="C218" s="210" t="str">
        <f t="shared" si="30"/>
        <v/>
      </c>
      <c r="D218" s="210" t="str">
        <f t="shared" si="31"/>
        <v/>
      </c>
      <c r="E218" s="214"/>
      <c r="F218" s="214"/>
      <c r="G218" s="213"/>
      <c r="H218" s="21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23"/>
    </row>
    <row r="219" spans="2:23" ht="14.5" thickBot="1" x14ac:dyDescent="0.35">
      <c r="B219" s="210" t="str">
        <f t="shared" si="29"/>
        <v/>
      </c>
      <c r="C219" s="210" t="str">
        <f t="shared" si="30"/>
        <v/>
      </c>
      <c r="D219" s="210" t="str">
        <f t="shared" si="31"/>
        <v/>
      </c>
      <c r="E219" s="214"/>
      <c r="F219" s="214"/>
      <c r="G219" s="213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23"/>
    </row>
    <row r="220" spans="2:23" ht="14.5" thickBot="1" x14ac:dyDescent="0.35">
      <c r="B220" s="210" t="str">
        <f t="shared" si="29"/>
        <v/>
      </c>
      <c r="C220" s="210" t="str">
        <f t="shared" si="30"/>
        <v/>
      </c>
      <c r="D220" s="210" t="str">
        <f t="shared" si="31"/>
        <v/>
      </c>
      <c r="E220" s="214"/>
      <c r="F220" s="214"/>
      <c r="G220" s="213"/>
      <c r="H220" s="21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23"/>
    </row>
    <row r="221" spans="2:23" ht="14.5" thickBot="1" x14ac:dyDescent="0.35">
      <c r="B221" s="210" t="str">
        <f t="shared" si="29"/>
        <v/>
      </c>
      <c r="C221" s="210" t="str">
        <f t="shared" si="30"/>
        <v/>
      </c>
      <c r="D221" s="210" t="str">
        <f t="shared" si="31"/>
        <v/>
      </c>
      <c r="E221" s="214"/>
      <c r="F221" s="214"/>
      <c r="G221" s="213"/>
      <c r="H221" s="21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23"/>
    </row>
    <row r="222" spans="2:23" ht="14.5" thickBot="1" x14ac:dyDescent="0.35">
      <c r="B222" s="210" t="str">
        <f t="shared" si="29"/>
        <v/>
      </c>
      <c r="C222" s="210" t="str">
        <f t="shared" si="30"/>
        <v/>
      </c>
      <c r="D222" s="210" t="str">
        <f t="shared" si="31"/>
        <v/>
      </c>
      <c r="E222" s="214"/>
      <c r="F222" s="214"/>
      <c r="G222" s="213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23"/>
    </row>
    <row r="223" spans="2:23" ht="14.5" thickBot="1" x14ac:dyDescent="0.35">
      <c r="B223" s="210" t="str">
        <f t="shared" si="29"/>
        <v/>
      </c>
      <c r="C223" s="210" t="str">
        <f t="shared" si="30"/>
        <v/>
      </c>
      <c r="D223" s="210" t="str">
        <f t="shared" si="31"/>
        <v/>
      </c>
      <c r="E223" s="214"/>
      <c r="F223" s="214"/>
      <c r="G223" s="213"/>
      <c r="H223" s="21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23"/>
    </row>
    <row r="224" spans="2:23" ht="14.5" thickBot="1" x14ac:dyDescent="0.35">
      <c r="B224" s="210" t="str">
        <f t="shared" si="29"/>
        <v/>
      </c>
      <c r="C224" s="210" t="str">
        <f t="shared" si="30"/>
        <v/>
      </c>
      <c r="D224" s="210" t="str">
        <f t="shared" si="31"/>
        <v/>
      </c>
      <c r="E224" s="225"/>
      <c r="F224" s="225"/>
      <c r="G224" s="226"/>
      <c r="H224" s="227"/>
      <c r="I224" s="227"/>
      <c r="J224" s="227"/>
      <c r="K224" s="227"/>
      <c r="L224" s="227"/>
      <c r="M224" s="227"/>
      <c r="N224" s="227"/>
      <c r="O224" s="227"/>
      <c r="P224" s="227"/>
      <c r="Q224" s="227"/>
      <c r="R224" s="227"/>
      <c r="S224" s="227"/>
      <c r="T224" s="227"/>
      <c r="U224" s="227"/>
      <c r="V224" s="227"/>
      <c r="W224" s="228"/>
    </row>
  </sheetData>
  <mergeCells count="243">
    <mergeCell ref="AJ2:AK2"/>
    <mergeCell ref="B3:N3"/>
    <mergeCell ref="S3:AE3"/>
    <mergeCell ref="B5:N5"/>
    <mergeCell ref="S5:AE5"/>
    <mergeCell ref="B6:F6"/>
    <mergeCell ref="G6:L6"/>
    <mergeCell ref="M6:P6"/>
    <mergeCell ref="S6:W6"/>
    <mergeCell ref="X6:AC6"/>
    <mergeCell ref="AD6:AG6"/>
    <mergeCell ref="B2:N2"/>
    <mergeCell ref="O2:P5"/>
    <mergeCell ref="S2:AE2"/>
    <mergeCell ref="AF2:AG5"/>
    <mergeCell ref="B8:F8"/>
    <mergeCell ref="G8:L8"/>
    <mergeCell ref="M8:P8"/>
    <mergeCell ref="S8:W8"/>
    <mergeCell ref="X8:AC8"/>
    <mergeCell ref="AD8:AG8"/>
    <mergeCell ref="B7:F7"/>
    <mergeCell ref="G7:L7"/>
    <mergeCell ref="M7:P7"/>
    <mergeCell ref="S7:W7"/>
    <mergeCell ref="X7:AC7"/>
    <mergeCell ref="AD7:AG7"/>
    <mergeCell ref="H11:I11"/>
    <mergeCell ref="M11:O11"/>
    <mergeCell ref="S11:T11"/>
    <mergeCell ref="U11:X11"/>
    <mergeCell ref="Y11:Z11"/>
    <mergeCell ref="AB11:AC11"/>
    <mergeCell ref="B9:P9"/>
    <mergeCell ref="S9:AG9"/>
    <mergeCell ref="B10:C10"/>
    <mergeCell ref="D10:G10"/>
    <mergeCell ref="H10:I10"/>
    <mergeCell ref="J10:P10"/>
    <mergeCell ref="S10:T10"/>
    <mergeCell ref="U10:X10"/>
    <mergeCell ref="Y10:Z10"/>
    <mergeCell ref="AA10:AG10"/>
    <mergeCell ref="B13:P13"/>
    <mergeCell ref="S13:S14"/>
    <mergeCell ref="T13:T14"/>
    <mergeCell ref="U13:U14"/>
    <mergeCell ref="W13:W14"/>
    <mergeCell ref="X13:X14"/>
    <mergeCell ref="Y13:Y14"/>
    <mergeCell ref="AD11:AF11"/>
    <mergeCell ref="B12:C12"/>
    <mergeCell ref="D12:G12"/>
    <mergeCell ref="H12:I12"/>
    <mergeCell ref="J12:L12"/>
    <mergeCell ref="M12:O12"/>
    <mergeCell ref="S12:T12"/>
    <mergeCell ref="U12:X12"/>
    <mergeCell ref="Y12:Z12"/>
    <mergeCell ref="AA13:AA14"/>
    <mergeCell ref="AB13:AB14"/>
    <mergeCell ref="AC13:AC14"/>
    <mergeCell ref="AE13:AE14"/>
    <mergeCell ref="AF13:AF14"/>
    <mergeCell ref="AA12:AC12"/>
    <mergeCell ref="B11:C11"/>
    <mergeCell ref="D11:G11"/>
    <mergeCell ref="AD12:AF12"/>
    <mergeCell ref="S35:V35"/>
    <mergeCell ref="W35:X35"/>
    <mergeCell ref="AC35:AE35"/>
    <mergeCell ref="S37:AG37"/>
    <mergeCell ref="S38:W38"/>
    <mergeCell ref="X38:Y38"/>
    <mergeCell ref="Z38:AA38"/>
    <mergeCell ref="AB38:AC38"/>
    <mergeCell ref="AD38:AE38"/>
    <mergeCell ref="AF38:AG38"/>
    <mergeCell ref="AG13:AG14"/>
    <mergeCell ref="S40:W40"/>
    <mergeCell ref="X40:Y40"/>
    <mergeCell ref="Z40:AA40"/>
    <mergeCell ref="AB40:AC40"/>
    <mergeCell ref="AD40:AE40"/>
    <mergeCell ref="AF40:AG40"/>
    <mergeCell ref="AM38:AN38"/>
    <mergeCell ref="AQ38:AS38"/>
    <mergeCell ref="S39:W39"/>
    <mergeCell ref="X39:Y39"/>
    <mergeCell ref="Z39:AA39"/>
    <mergeCell ref="AB39:AC39"/>
    <mergeCell ref="AD39:AE39"/>
    <mergeCell ref="AF39:AG39"/>
    <mergeCell ref="S42:W42"/>
    <mergeCell ref="X42:Y42"/>
    <mergeCell ref="Z42:AA42"/>
    <mergeCell ref="AB42:AC42"/>
    <mergeCell ref="AD42:AE42"/>
    <mergeCell ref="AF42:AG42"/>
    <mergeCell ref="S41:W41"/>
    <mergeCell ref="X41:Y41"/>
    <mergeCell ref="Z41:AA41"/>
    <mergeCell ref="AB41:AC41"/>
    <mergeCell ref="AD41:AE41"/>
    <mergeCell ref="AF41:AG41"/>
    <mergeCell ref="S44:W44"/>
    <mergeCell ref="X44:Y44"/>
    <mergeCell ref="Z44:AA44"/>
    <mergeCell ref="AB44:AC44"/>
    <mergeCell ref="AD44:AE44"/>
    <mergeCell ref="AF44:AG44"/>
    <mergeCell ref="S43:W43"/>
    <mergeCell ref="X43:Y43"/>
    <mergeCell ref="Z43:AA43"/>
    <mergeCell ref="AB43:AC43"/>
    <mergeCell ref="AD43:AE43"/>
    <mergeCell ref="AF43:AG43"/>
    <mergeCell ref="S46:W46"/>
    <mergeCell ref="X46:Y46"/>
    <mergeCell ref="Z46:AA46"/>
    <mergeCell ref="AB46:AC46"/>
    <mergeCell ref="AD46:AE46"/>
    <mergeCell ref="AF46:AG46"/>
    <mergeCell ref="S45:W45"/>
    <mergeCell ref="X45:Y45"/>
    <mergeCell ref="Z45:AA45"/>
    <mergeCell ref="AB45:AC45"/>
    <mergeCell ref="AD45:AE45"/>
    <mergeCell ref="AF45:AG45"/>
    <mergeCell ref="S48:W48"/>
    <mergeCell ref="X48:Y48"/>
    <mergeCell ref="Z48:AA48"/>
    <mergeCell ref="AB48:AC48"/>
    <mergeCell ref="AD48:AE48"/>
    <mergeCell ref="AF48:AG48"/>
    <mergeCell ref="S47:W47"/>
    <mergeCell ref="X47:Y47"/>
    <mergeCell ref="Z47:AA47"/>
    <mergeCell ref="AB47:AC47"/>
    <mergeCell ref="AD47:AE47"/>
    <mergeCell ref="AF47:AG47"/>
    <mergeCell ref="S50:W50"/>
    <mergeCell ref="X50:Y50"/>
    <mergeCell ref="Z50:AA50"/>
    <mergeCell ref="AB50:AC50"/>
    <mergeCell ref="AD50:AE50"/>
    <mergeCell ref="AF50:AG50"/>
    <mergeCell ref="S49:W49"/>
    <mergeCell ref="X49:Y49"/>
    <mergeCell ref="Z49:AA49"/>
    <mergeCell ref="AB49:AC49"/>
    <mergeCell ref="AD49:AE49"/>
    <mergeCell ref="AF49:AG49"/>
    <mergeCell ref="S52:W52"/>
    <mergeCell ref="X52:Y52"/>
    <mergeCell ref="Z52:AA52"/>
    <mergeCell ref="AB52:AC52"/>
    <mergeCell ref="AD52:AE52"/>
    <mergeCell ref="AF52:AG52"/>
    <mergeCell ref="S51:W51"/>
    <mergeCell ref="X51:Y51"/>
    <mergeCell ref="Z51:AA51"/>
    <mergeCell ref="AB51:AC51"/>
    <mergeCell ref="AD51:AE51"/>
    <mergeCell ref="AF51:AG51"/>
    <mergeCell ref="S54:AE54"/>
    <mergeCell ref="AF54:AG54"/>
    <mergeCell ref="B55:P55"/>
    <mergeCell ref="B56:D57"/>
    <mergeCell ref="E56:J56"/>
    <mergeCell ref="K56:P56"/>
    <mergeCell ref="S56:U57"/>
    <mergeCell ref="V56:AA56"/>
    <mergeCell ref="AB56:AG56"/>
    <mergeCell ref="E57:G57"/>
    <mergeCell ref="AE57:AG57"/>
    <mergeCell ref="H57:J57"/>
    <mergeCell ref="K57:M57"/>
    <mergeCell ref="N57:P57"/>
    <mergeCell ref="V57:X57"/>
    <mergeCell ref="Y57:AA57"/>
    <mergeCell ref="AB57:AD57"/>
    <mergeCell ref="AE58:AG58"/>
    <mergeCell ref="B59:D59"/>
    <mergeCell ref="E59:G59"/>
    <mergeCell ref="H59:J59"/>
    <mergeCell ref="K59:M59"/>
    <mergeCell ref="N59:P59"/>
    <mergeCell ref="S59:U59"/>
    <mergeCell ref="V59:X59"/>
    <mergeCell ref="Y59:AA59"/>
    <mergeCell ref="AB59:AD59"/>
    <mergeCell ref="AE59:AG59"/>
    <mergeCell ref="B58:D58"/>
    <mergeCell ref="E58:G58"/>
    <mergeCell ref="H58:J58"/>
    <mergeCell ref="K58:M58"/>
    <mergeCell ref="N58:P58"/>
    <mergeCell ref="S58:U58"/>
    <mergeCell ref="V58:X58"/>
    <mergeCell ref="Y58:AA58"/>
    <mergeCell ref="AB58:AD58"/>
    <mergeCell ref="AE60:AG60"/>
    <mergeCell ref="B61:D61"/>
    <mergeCell ref="E61:G61"/>
    <mergeCell ref="H61:J61"/>
    <mergeCell ref="K61:M61"/>
    <mergeCell ref="N61:P61"/>
    <mergeCell ref="S61:U61"/>
    <mergeCell ref="V61:X61"/>
    <mergeCell ref="Y61:AA61"/>
    <mergeCell ref="AB61:AD61"/>
    <mergeCell ref="B60:D60"/>
    <mergeCell ref="E60:G60"/>
    <mergeCell ref="H60:J60"/>
    <mergeCell ref="K60:M60"/>
    <mergeCell ref="N60:P60"/>
    <mergeCell ref="S60:U60"/>
    <mergeCell ref="V60:X60"/>
    <mergeCell ref="Y60:AA60"/>
    <mergeCell ref="AB60:AD60"/>
    <mergeCell ref="O71:T71"/>
    <mergeCell ref="U71:V71"/>
    <mergeCell ref="J72:M72"/>
    <mergeCell ref="J73:M73"/>
    <mergeCell ref="O73:T73"/>
    <mergeCell ref="U73:V73"/>
    <mergeCell ref="AE61:AG61"/>
    <mergeCell ref="J69:M69"/>
    <mergeCell ref="O69:T69"/>
    <mergeCell ref="U69:V69"/>
    <mergeCell ref="J70:M70"/>
    <mergeCell ref="B66:D66"/>
    <mergeCell ref="J80:M80"/>
    <mergeCell ref="J81:M81"/>
    <mergeCell ref="J82:M82"/>
    <mergeCell ref="J74:M74"/>
    <mergeCell ref="J75:M75"/>
    <mergeCell ref="J76:M76"/>
    <mergeCell ref="J77:M77"/>
    <mergeCell ref="J78:M78"/>
    <mergeCell ref="J79:M79"/>
    <mergeCell ref="J71:M71"/>
  </mergeCells>
  <dataValidations count="1">
    <dataValidation type="list" showInputMessage="1" showErrorMessage="1" sqref="AQ21" xr:uid="{97F8DE1A-55F3-4123-9240-E41C6868FCF3}">
      <formula1>"LHS,CL,RHS"</formula1>
    </dataValidation>
  </dataValidations>
  <printOptions horizontalCentered="1" verticalCentered="1"/>
  <pageMargins left="0.5" right="0.25" top="0.25" bottom="0.25" header="0" footer="0"/>
  <pageSetup paperSize="9" scale="64" fitToWidth="0" pageOrder="overThenDown" orientation="portrait" blackAndWhite="1" r:id="rId1"/>
  <colBreaks count="2" manualBreakCount="2">
    <brk id="17" max="61" man="1"/>
    <brk id="35" max="116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A84CF-1F4A-4571-AB71-770FCFED76D1}">
  <sheetPr codeName="Sheet10"/>
  <dimension ref="A1:BOB84"/>
  <sheetViews>
    <sheetView zoomScale="55" zoomScaleNormal="55" zoomScaleSheetLayoutView="40" zoomScalePageLayoutView="10" workbookViewId="0">
      <selection activeCell="Y8" sqref="Y8"/>
    </sheetView>
  </sheetViews>
  <sheetFormatPr defaultColWidth="8.6328125" defaultRowHeight="13" x14ac:dyDescent="0.3"/>
  <cols>
    <col min="1" max="1" width="2.36328125" style="63" customWidth="1"/>
    <col min="2" max="2" width="35.08984375" style="63" customWidth="1"/>
    <col min="3" max="3" width="17.36328125" style="63" customWidth="1"/>
    <col min="4" max="4" width="11.6328125" style="63" customWidth="1"/>
    <col min="5" max="5" width="8.6328125" style="63"/>
    <col min="6" max="7" width="10.6328125" style="63" customWidth="1"/>
    <col min="8" max="16" width="8.6328125" style="63"/>
    <col min="17" max="17" width="9.90625" style="63" customWidth="1"/>
    <col min="18" max="22" width="8.6328125" style="63"/>
    <col min="23" max="23" width="15.6328125" style="63" customWidth="1"/>
    <col min="24" max="24" width="2.36328125" style="63" customWidth="1"/>
    <col min="25" max="26" width="8.6328125" style="63"/>
    <col min="27" max="27" width="11.08984375" style="63" bestFit="1" customWidth="1"/>
    <col min="28" max="16384" width="8.6328125" style="63"/>
  </cols>
  <sheetData>
    <row r="1" spans="1:68" ht="13.5" thickBot="1" x14ac:dyDescent="0.35">
      <c r="A1" s="116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123"/>
    </row>
    <row r="2" spans="1:68" s="62" customFormat="1" ht="25" customHeight="1" thickBot="1" x14ac:dyDescent="0.35">
      <c r="A2" s="110"/>
      <c r="B2" s="445" t="str">
        <f>DCP_Test_Report_Template!B2</f>
        <v>Project Name num Project Name</v>
      </c>
      <c r="C2" s="446"/>
      <c r="D2" s="446"/>
      <c r="E2" s="446"/>
      <c r="F2" s="446"/>
      <c r="G2" s="446"/>
      <c r="H2" s="446"/>
      <c r="I2" s="446"/>
      <c r="J2" s="446"/>
      <c r="K2" s="446"/>
      <c r="L2" s="446"/>
      <c r="M2" s="446"/>
      <c r="N2" s="446"/>
      <c r="O2" s="446"/>
      <c r="P2" s="446"/>
      <c r="Q2" s="446"/>
      <c r="R2" s="446"/>
      <c r="S2" s="446"/>
      <c r="T2" s="446"/>
      <c r="U2" s="446"/>
      <c r="V2" s="446"/>
      <c r="W2" s="447"/>
      <c r="X2" s="111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</row>
    <row r="3" spans="1:68" ht="25" customHeight="1" thickTop="1" x14ac:dyDescent="0.35">
      <c r="A3" s="110"/>
      <c r="B3" s="448" t="str">
        <f>DCP_Test_Report_Template!B3</f>
        <v>Project Name</v>
      </c>
      <c r="C3" s="449"/>
      <c r="D3" s="449"/>
      <c r="E3" s="449"/>
      <c r="F3" s="449"/>
      <c r="G3" s="449"/>
      <c r="H3" s="449"/>
      <c r="I3" s="449"/>
      <c r="J3" s="449"/>
      <c r="K3" s="449"/>
      <c r="L3" s="449"/>
      <c r="M3" s="449"/>
      <c r="N3" s="449"/>
      <c r="O3" s="449"/>
      <c r="P3" s="449"/>
      <c r="Q3" s="449"/>
      <c r="R3" s="449"/>
      <c r="S3" s="449"/>
      <c r="T3" s="449"/>
      <c r="U3" s="449"/>
      <c r="V3" s="449"/>
      <c r="W3" s="450"/>
      <c r="X3" s="111"/>
      <c r="Z3" s="133"/>
      <c r="AA3" s="134"/>
      <c r="AB3" s="134"/>
      <c r="AC3" s="134"/>
      <c r="AD3" s="134"/>
      <c r="AE3" s="134"/>
      <c r="AF3" s="134"/>
      <c r="AG3" s="134"/>
      <c r="AH3" s="135"/>
      <c r="AI3" s="135"/>
      <c r="AJ3" s="135"/>
      <c r="AK3" s="135"/>
      <c r="AL3" s="135"/>
      <c r="AM3" s="135"/>
      <c r="AN3" s="135"/>
      <c r="AO3" s="135"/>
      <c r="AP3" s="135"/>
      <c r="AQ3" s="135"/>
      <c r="AR3" s="136"/>
    </row>
    <row r="4" spans="1:68" ht="23.15" customHeight="1" x14ac:dyDescent="0.35">
      <c r="A4" s="110"/>
      <c r="B4" s="459" t="str">
        <f>DCP_Test_Report_Template!B5</f>
        <v>Contract No: Enter Contract No num</v>
      </c>
      <c r="C4" s="460"/>
      <c r="D4" s="460"/>
      <c r="E4" s="460"/>
      <c r="F4" s="460"/>
      <c r="G4" s="460"/>
      <c r="H4" s="460"/>
      <c r="I4" s="460"/>
      <c r="J4" s="460"/>
      <c r="K4" s="460"/>
      <c r="L4" s="460"/>
      <c r="M4" s="460"/>
      <c r="N4" s="460"/>
      <c r="O4" s="460"/>
      <c r="P4" s="460"/>
      <c r="Q4" s="460"/>
      <c r="R4" s="460"/>
      <c r="S4" s="460"/>
      <c r="T4" s="460"/>
      <c r="U4" s="460"/>
      <c r="V4" s="460"/>
      <c r="W4" s="461"/>
      <c r="X4" s="111"/>
      <c r="Z4" s="137"/>
      <c r="AA4" s="160"/>
      <c r="AB4" s="160"/>
      <c r="AC4" s="160"/>
      <c r="AD4" s="160"/>
      <c r="AE4" s="160"/>
      <c r="AF4" s="160"/>
      <c r="AG4" s="160"/>
      <c r="AR4" s="138"/>
    </row>
    <row r="5" spans="1:68" s="64" customFormat="1" ht="25" customHeight="1" x14ac:dyDescent="0.35">
      <c r="A5" s="124"/>
      <c r="B5" s="454" t="s">
        <v>1</v>
      </c>
      <c r="C5" s="455"/>
      <c r="D5" s="455"/>
      <c r="E5" s="455"/>
      <c r="F5" s="456"/>
      <c r="G5" s="457" t="s">
        <v>2</v>
      </c>
      <c r="H5" s="457"/>
      <c r="I5" s="457"/>
      <c r="J5" s="457"/>
      <c r="K5" s="457"/>
      <c r="L5" s="457"/>
      <c r="M5" s="457"/>
      <c r="N5" s="457"/>
      <c r="O5" s="457" t="s">
        <v>3</v>
      </c>
      <c r="P5" s="457"/>
      <c r="Q5" s="457"/>
      <c r="R5" s="457"/>
      <c r="S5" s="457"/>
      <c r="T5" s="457"/>
      <c r="U5" s="457"/>
      <c r="V5" s="457"/>
      <c r="W5" s="457"/>
      <c r="X5" s="125"/>
      <c r="Z5" s="139"/>
      <c r="AA5" s="161"/>
      <c r="AB5" s="161"/>
      <c r="AC5" s="161"/>
      <c r="AD5" s="161"/>
      <c r="AE5" s="161"/>
      <c r="AR5" s="140"/>
    </row>
    <row r="6" spans="1:68" s="65" customFormat="1" ht="25" customHeight="1" x14ac:dyDescent="0.35">
      <c r="A6" s="126"/>
      <c r="B6" s="421" t="str">
        <f>DCP_Test_Report_Template!B7</f>
        <v>Enetr Company Name</v>
      </c>
      <c r="C6" s="419"/>
      <c r="D6" s="419"/>
      <c r="E6" s="419"/>
      <c r="F6" s="420"/>
      <c r="G6" s="421" t="str">
        <f>DCP_Test_Report_Template!G7</f>
        <v>Enetr Company Name</v>
      </c>
      <c r="H6" s="419"/>
      <c r="I6" s="419"/>
      <c r="J6" s="419"/>
      <c r="K6" s="419"/>
      <c r="L6" s="419"/>
      <c r="M6" s="419"/>
      <c r="N6" s="420"/>
      <c r="O6" s="421" t="str">
        <f>DCP_Test_Report_Template!M7</f>
        <v>Enetr Company Name</v>
      </c>
      <c r="P6" s="419"/>
      <c r="Q6" s="419"/>
      <c r="R6" s="419"/>
      <c r="S6" s="419"/>
      <c r="T6" s="419"/>
      <c r="U6" s="419"/>
      <c r="V6" s="419"/>
      <c r="W6" s="420"/>
      <c r="X6" s="127"/>
      <c r="Z6" s="141"/>
      <c r="AA6" s="162"/>
      <c r="AB6" s="162"/>
      <c r="AC6" s="162"/>
      <c r="AD6" s="162"/>
      <c r="AE6" s="162"/>
      <c r="AR6" s="142"/>
    </row>
    <row r="7" spans="1:68" ht="17.25" customHeight="1" x14ac:dyDescent="0.35">
      <c r="A7" s="110"/>
      <c r="B7" s="476" t="s">
        <v>96</v>
      </c>
      <c r="C7" s="476"/>
      <c r="D7" s="476"/>
      <c r="E7" s="476"/>
      <c r="F7" s="476"/>
      <c r="G7" s="476" t="s">
        <v>96</v>
      </c>
      <c r="H7" s="476"/>
      <c r="I7" s="476"/>
      <c r="J7" s="476"/>
      <c r="K7" s="476"/>
      <c r="L7" s="476"/>
      <c r="M7" s="476"/>
      <c r="N7" s="476"/>
      <c r="O7" s="476" t="s">
        <v>96</v>
      </c>
      <c r="P7" s="476"/>
      <c r="Q7" s="476"/>
      <c r="R7" s="476"/>
      <c r="S7" s="476"/>
      <c r="T7" s="476"/>
      <c r="U7" s="476"/>
      <c r="V7" s="476"/>
      <c r="W7" s="476"/>
      <c r="X7" s="111"/>
      <c r="Z7" s="143"/>
      <c r="AA7" s="66"/>
      <c r="AB7" s="66"/>
      <c r="AC7" s="66"/>
      <c r="AD7" s="66"/>
      <c r="AE7" s="66"/>
      <c r="AF7" s="66"/>
      <c r="AG7" s="66"/>
      <c r="AR7" s="138"/>
    </row>
    <row r="8" spans="1:68" ht="17.25" customHeight="1" x14ac:dyDescent="0.35">
      <c r="A8" s="110"/>
      <c r="B8" s="476"/>
      <c r="C8" s="476"/>
      <c r="D8" s="476"/>
      <c r="E8" s="476"/>
      <c r="F8" s="476"/>
      <c r="G8" s="476"/>
      <c r="H8" s="476"/>
      <c r="I8" s="476"/>
      <c r="J8" s="476"/>
      <c r="K8" s="476"/>
      <c r="L8" s="476"/>
      <c r="M8" s="476"/>
      <c r="N8" s="476"/>
      <c r="O8" s="476"/>
      <c r="P8" s="476"/>
      <c r="Q8" s="476"/>
      <c r="R8" s="476"/>
      <c r="S8" s="476"/>
      <c r="T8" s="476"/>
      <c r="U8" s="476"/>
      <c r="V8" s="476"/>
      <c r="W8" s="476"/>
      <c r="X8" s="111"/>
      <c r="Z8" s="144"/>
      <c r="AA8" s="159"/>
      <c r="AB8" s="159"/>
      <c r="AC8" s="159"/>
      <c r="AD8" s="159"/>
      <c r="AE8" s="159"/>
      <c r="AF8" s="159"/>
      <c r="AG8" s="159"/>
      <c r="AR8" s="138"/>
    </row>
    <row r="9" spans="1:68" ht="17.25" customHeight="1" x14ac:dyDescent="0.35">
      <c r="A9" s="110"/>
      <c r="B9" s="476"/>
      <c r="C9" s="476"/>
      <c r="D9" s="476"/>
      <c r="E9" s="476"/>
      <c r="F9" s="476"/>
      <c r="G9" s="476"/>
      <c r="H9" s="476"/>
      <c r="I9" s="476"/>
      <c r="J9" s="476"/>
      <c r="K9" s="476"/>
      <c r="L9" s="476"/>
      <c r="M9" s="476"/>
      <c r="N9" s="476"/>
      <c r="O9" s="476"/>
      <c r="P9" s="476"/>
      <c r="Q9" s="476"/>
      <c r="R9" s="476"/>
      <c r="S9" s="476"/>
      <c r="T9" s="476"/>
      <c r="U9" s="476"/>
      <c r="V9" s="476"/>
      <c r="W9" s="476"/>
      <c r="X9" s="111"/>
      <c r="Z9" s="145"/>
      <c r="AA9" s="163"/>
      <c r="AB9" s="163"/>
      <c r="AC9" s="163"/>
      <c r="AD9" s="163"/>
      <c r="AE9" s="163"/>
      <c r="AF9" s="163"/>
      <c r="AG9" s="163"/>
      <c r="AR9" s="138"/>
    </row>
    <row r="10" spans="1:68" s="67" customFormat="1" ht="40.5" customHeight="1" x14ac:dyDescent="0.35">
      <c r="B10" s="471" t="s">
        <v>60</v>
      </c>
      <c r="C10" s="471"/>
      <c r="D10" s="471"/>
      <c r="E10" s="471"/>
      <c r="F10" s="471"/>
      <c r="G10" s="471"/>
      <c r="H10" s="471"/>
      <c r="I10" s="471"/>
      <c r="J10" s="471"/>
      <c r="K10" s="471"/>
      <c r="L10" s="471"/>
      <c r="M10" s="471"/>
      <c r="N10" s="471"/>
      <c r="O10" s="471"/>
      <c r="P10" s="471"/>
      <c r="Q10" s="471"/>
      <c r="R10" s="471"/>
      <c r="S10" s="471"/>
      <c r="T10" s="471"/>
      <c r="U10" s="471"/>
      <c r="V10" s="471"/>
      <c r="W10" s="471"/>
      <c r="X10" s="128"/>
      <c r="Y10" s="66"/>
      <c r="Z10" s="143"/>
      <c r="AA10" s="66"/>
      <c r="AB10" s="66"/>
      <c r="AC10" s="66"/>
      <c r="AD10" s="66"/>
      <c r="AE10" s="66"/>
      <c r="AF10" s="66"/>
      <c r="AG10" s="66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146"/>
      <c r="AS10" s="66"/>
      <c r="AT10" s="66"/>
      <c r="AU10" s="66"/>
      <c r="AV10" s="66"/>
      <c r="AW10" s="66"/>
      <c r="AX10" s="66"/>
      <c r="AY10" s="66"/>
      <c r="AZ10" s="66"/>
      <c r="BA10" s="66"/>
      <c r="BB10" s="66"/>
      <c r="BC10" s="66"/>
      <c r="BD10" s="66"/>
      <c r="BE10" s="66"/>
      <c r="BF10" s="66"/>
      <c r="BG10" s="66"/>
      <c r="BH10" s="66"/>
      <c r="BI10" s="66"/>
    </row>
    <row r="11" spans="1:68" s="66" customFormat="1" ht="17.25" customHeight="1" x14ac:dyDescent="0.35">
      <c r="A11" s="67"/>
      <c r="B11" s="113" t="s">
        <v>5</v>
      </c>
      <c r="C11" s="430" t="str">
        <f>DCP_Test_Report_Template!D10</f>
        <v>ID</v>
      </c>
      <c r="D11" s="431"/>
      <c r="E11" s="431"/>
      <c r="F11" s="432"/>
      <c r="G11" s="433" t="s">
        <v>6</v>
      </c>
      <c r="H11" s="434"/>
      <c r="I11" s="430" t="str">
        <f>DCP_Test_Report_Template!J10</f>
        <v>Road name</v>
      </c>
      <c r="J11" s="431"/>
      <c r="K11" s="431"/>
      <c r="L11" s="431"/>
      <c r="M11" s="431"/>
      <c r="N11" s="431"/>
      <c r="O11" s="431"/>
      <c r="P11" s="431"/>
      <c r="Q11" s="431"/>
      <c r="R11" s="431"/>
      <c r="S11" s="431"/>
      <c r="T11" s="431"/>
      <c r="U11" s="431"/>
      <c r="V11" s="431"/>
      <c r="W11" s="432"/>
      <c r="X11" s="128"/>
      <c r="Z11" s="143"/>
      <c r="AR11" s="146"/>
    </row>
    <row r="12" spans="1:68" s="66" customFormat="1" ht="17.25" customHeight="1" x14ac:dyDescent="0.35">
      <c r="A12" s="67"/>
      <c r="B12" s="435"/>
      <c r="C12" s="436"/>
      <c r="D12" s="436"/>
      <c r="E12" s="436"/>
      <c r="F12" s="436"/>
      <c r="G12" s="436"/>
      <c r="H12" s="436"/>
      <c r="I12" s="436"/>
      <c r="J12" s="436"/>
      <c r="K12" s="436"/>
      <c r="L12" s="436"/>
      <c r="M12" s="436"/>
      <c r="N12" s="436"/>
      <c r="O12" s="436"/>
      <c r="P12" s="436"/>
      <c r="Q12" s="436"/>
      <c r="R12" s="436"/>
      <c r="S12" s="436"/>
      <c r="T12" s="436"/>
      <c r="U12" s="436"/>
      <c r="V12" s="436"/>
      <c r="W12" s="437"/>
      <c r="X12" s="128"/>
      <c r="Z12" s="143"/>
      <c r="AR12" s="146"/>
    </row>
    <row r="13" spans="1:68" ht="14.25" customHeight="1" thickBot="1" x14ac:dyDescent="0.35">
      <c r="A13" s="110"/>
      <c r="B13" s="438" t="s">
        <v>61</v>
      </c>
      <c r="C13" s="438" t="s">
        <v>10</v>
      </c>
      <c r="D13" s="425" t="s">
        <v>62</v>
      </c>
      <c r="E13" s="441"/>
      <c r="F13" s="426"/>
      <c r="G13" s="425" t="s">
        <v>63</v>
      </c>
      <c r="H13" s="441"/>
      <c r="I13" s="441"/>
      <c r="J13" s="441"/>
      <c r="K13" s="441"/>
      <c r="L13" s="441"/>
      <c r="M13" s="441"/>
      <c r="N13" s="441"/>
      <c r="O13" s="441"/>
      <c r="P13" s="441"/>
      <c r="Q13" s="441"/>
      <c r="R13" s="441"/>
      <c r="S13" s="441"/>
      <c r="T13" s="441"/>
      <c r="U13" s="441"/>
      <c r="V13" s="441"/>
      <c r="W13" s="426"/>
      <c r="X13" s="111"/>
      <c r="Z13" s="147"/>
      <c r="AR13" s="138"/>
    </row>
    <row r="14" spans="1:68" ht="15" customHeight="1" x14ac:dyDescent="0.3">
      <c r="A14" s="110"/>
      <c r="B14" s="439"/>
      <c r="C14" s="439"/>
      <c r="D14" s="68" t="s">
        <v>41</v>
      </c>
      <c r="E14" s="69" t="s">
        <v>64</v>
      </c>
      <c r="F14" s="70" t="s">
        <v>65</v>
      </c>
      <c r="G14" s="425" t="s">
        <v>66</v>
      </c>
      <c r="H14" s="426"/>
      <c r="I14" s="425" t="s">
        <v>67</v>
      </c>
      <c r="J14" s="426"/>
      <c r="K14" s="425" t="s">
        <v>68</v>
      </c>
      <c r="L14" s="426"/>
      <c r="M14" s="425" t="s">
        <v>69</v>
      </c>
      <c r="N14" s="426"/>
      <c r="O14" s="425" t="s">
        <v>70</v>
      </c>
      <c r="P14" s="426"/>
      <c r="Q14" s="425" t="s">
        <v>71</v>
      </c>
      <c r="R14" s="426"/>
      <c r="S14" s="425" t="s">
        <v>72</v>
      </c>
      <c r="T14" s="426"/>
      <c r="U14" s="425" t="s">
        <v>73</v>
      </c>
      <c r="V14" s="426"/>
      <c r="W14" s="442" t="s">
        <v>74</v>
      </c>
      <c r="X14" s="111"/>
      <c r="Z14" s="147"/>
      <c r="AA14" s="462" t="s">
        <v>79</v>
      </c>
      <c r="AB14" s="463"/>
      <c r="AC14" s="463"/>
      <c r="AD14" s="463"/>
      <c r="AE14" s="463"/>
      <c r="AF14" s="463"/>
      <c r="AG14" s="464"/>
      <c r="AR14" s="138"/>
    </row>
    <row r="15" spans="1:68" ht="15" customHeight="1" x14ac:dyDescent="0.3">
      <c r="A15" s="110"/>
      <c r="B15" s="439"/>
      <c r="C15" s="439"/>
      <c r="D15" s="71"/>
      <c r="E15" s="72"/>
      <c r="F15" s="168" t="s">
        <v>75</v>
      </c>
      <c r="G15" s="69" t="s">
        <v>76</v>
      </c>
      <c r="H15" s="73" t="s">
        <v>74</v>
      </c>
      <c r="I15" s="69" t="s">
        <v>76</v>
      </c>
      <c r="J15" s="168" t="s">
        <v>74</v>
      </c>
      <c r="K15" s="69" t="s">
        <v>76</v>
      </c>
      <c r="L15" s="73" t="s">
        <v>74</v>
      </c>
      <c r="M15" s="69" t="s">
        <v>76</v>
      </c>
      <c r="N15" s="73" t="s">
        <v>74</v>
      </c>
      <c r="O15" s="69" t="s">
        <v>76</v>
      </c>
      <c r="P15" s="73" t="s">
        <v>74</v>
      </c>
      <c r="Q15" s="74" t="s">
        <v>76</v>
      </c>
      <c r="R15" s="168" t="s">
        <v>74</v>
      </c>
      <c r="S15" s="71" t="s">
        <v>76</v>
      </c>
      <c r="T15" s="73" t="s">
        <v>74</v>
      </c>
      <c r="U15" s="74" t="s">
        <v>76</v>
      </c>
      <c r="V15" s="168" t="s">
        <v>74</v>
      </c>
      <c r="W15" s="443"/>
      <c r="X15" s="111"/>
      <c r="Z15" s="147"/>
      <c r="AA15" s="465"/>
      <c r="AB15" s="466"/>
      <c r="AC15" s="466"/>
      <c r="AD15" s="466"/>
      <c r="AE15" s="466"/>
      <c r="AF15" s="466"/>
      <c r="AG15" s="467"/>
      <c r="AI15" s="64"/>
      <c r="AJ15" s="64"/>
      <c r="AK15" s="64"/>
      <c r="AR15" s="138"/>
    </row>
    <row r="16" spans="1:68" ht="15.75" customHeight="1" thickBot="1" x14ac:dyDescent="0.35">
      <c r="A16" s="110"/>
      <c r="B16" s="440"/>
      <c r="C16" s="440"/>
      <c r="D16" s="75"/>
      <c r="E16" s="76"/>
      <c r="F16" s="77"/>
      <c r="G16" s="76" t="s">
        <v>30</v>
      </c>
      <c r="H16" s="78"/>
      <c r="I16" s="76" t="s">
        <v>30</v>
      </c>
      <c r="J16" s="77"/>
      <c r="K16" s="76" t="s">
        <v>30</v>
      </c>
      <c r="L16" s="78"/>
      <c r="M16" s="76" t="s">
        <v>30</v>
      </c>
      <c r="N16" s="78"/>
      <c r="O16" s="76" t="s">
        <v>30</v>
      </c>
      <c r="P16" s="78"/>
      <c r="Q16" s="78" t="s">
        <v>30</v>
      </c>
      <c r="R16" s="77"/>
      <c r="S16" s="75" t="s">
        <v>30</v>
      </c>
      <c r="T16" s="78"/>
      <c r="U16" s="78" t="s">
        <v>30</v>
      </c>
      <c r="V16" s="77"/>
      <c r="W16" s="444"/>
      <c r="X16" s="111"/>
      <c r="Z16" s="147"/>
      <c r="AA16" s="468"/>
      <c r="AB16" s="469"/>
      <c r="AC16" s="469"/>
      <c r="AD16" s="469"/>
      <c r="AE16" s="469"/>
      <c r="AF16" s="469"/>
      <c r="AG16" s="470"/>
      <c r="AI16" s="191"/>
      <c r="AJ16" s="191"/>
      <c r="AK16" s="191"/>
      <c r="AR16" s="138"/>
    </row>
    <row r="17" spans="1:44" ht="22" customHeight="1" x14ac:dyDescent="0.3">
      <c r="A17" s="110"/>
      <c r="B17" s="164" t="str" cm="1">
        <f t="array" aca="1" ref="B17" ca="1">IF(AA17&lt;&gt;"",INDIRECT($AA17 &amp; "!$D$11"),"")</f>
        <v>Report Num</v>
      </c>
      <c r="C17" s="165" t="str" cm="1">
        <f t="array" aca="1" ref="C17" ca="1">IF(B17&lt;&gt;"",INDIRECT($AA17 &amp; "!$U$12"),"")</f>
        <v>date</v>
      </c>
      <c r="D17" s="165" t="str" cm="1">
        <f t="array" aca="1" ref="D17" ca="1">IF(B17&lt;&gt;"",INDIRECT($AA17 &amp; "!AA$11"),"")</f>
        <v>num + num</v>
      </c>
      <c r="E17" s="165" t="str" cm="1">
        <f t="array" aca="1" ref="E17" ca="1">IF(B17&lt;&gt;"",INDIRECT($AA17 &amp; "!$AB$11"),"")</f>
        <v>LHS</v>
      </c>
      <c r="F17" s="166" t="str" cm="1">
        <f t="array" aca="1" ref="F17" ca="1">IF(B17&lt;&gt;"",INDIRECT($AA17 &amp; "!$AG$11"),"")</f>
        <v>num</v>
      </c>
      <c r="G17" s="166" cm="1">
        <f t="array" aca="1" ref="G17" ca="1">IF(B17&lt;&gt;"",INDIRECT($AA17 &amp; "!$AB$40"),"")</f>
        <v>100</v>
      </c>
      <c r="H17" s="166" cm="1">
        <f t="array" aca="1" ref="H17" ca="1">IF(B17&lt;&gt;"",INDIRECT($AA17 &amp; "!$AF$40"),"")</f>
        <v>12.729498510374203</v>
      </c>
      <c r="I17" s="166" cm="1">
        <f t="array" aca="1" ref="I17" ca="1">IF(B17&lt;&gt;"",INDIRECT($AA17 &amp; "!$AB$41"),"")</f>
        <v>80</v>
      </c>
      <c r="J17" s="166" cm="1">
        <f t="array" aca="1" ref="J17" ca="1">IF(B17&lt;&gt;"",INDIRECT($AA17 &amp; "!$AF$41"),"")</f>
        <v>16.115551721784744</v>
      </c>
      <c r="K17" s="166" cm="1">
        <f t="array" aca="1" ref="K17" ca="1">IF(B17&lt;&gt;"",INDIRECT($AA17 &amp; "!$AB$42"),"")</f>
        <v>140</v>
      </c>
      <c r="L17" s="166" cm="1">
        <f t="array" aca="1" ref="L17" ca="1">IF(B17&lt;&gt;"",INDIRECT($AA17 &amp; "!$AF$42"),"")</f>
        <v>14.659149788991025</v>
      </c>
      <c r="M17" s="166" cm="1">
        <f t="array" aca="1" ref="M17" ca="1">IF(B17&lt;&gt;"",INDIRECT($AA17 &amp; "!$AB$43"),"")</f>
        <v>230</v>
      </c>
      <c r="N17" s="166" cm="1">
        <f t="array" aca="1" ref="N17" ca="1">IF(B17&lt;&gt;"",INDIRECT($AA17 &amp; "!$AF$43"),"")</f>
        <v>6.3996990131696103</v>
      </c>
      <c r="O17" s="166" cm="1">
        <f t="array" aca="1" ref="O17" ca="1">IF(B17&lt;&gt;"",INDIRECT($AA17 &amp; "!$AB$44"),"")</f>
        <v>110</v>
      </c>
      <c r="P17" s="166" cm="1">
        <f t="array" aca="1" ref="P17" ca="1">IF(B17&lt;&gt;"",INDIRECT($AA17 &amp; "!$AF$44"),"")</f>
        <v>6.7075682141945023</v>
      </c>
      <c r="Q17" s="166" cm="1">
        <f t="array" aca="1" ref="Q17" ca="1">IF(B17&lt;&gt;"",INDIRECT($AA17 &amp; "!$AB$45"),"")</f>
        <v>20</v>
      </c>
      <c r="R17" s="166" cm="1">
        <f t="array" aca="1" ref="R17" ca="1">IF(B17&lt;&gt;"",INDIRECT($AA17 &amp; "!$AF$45"),"")</f>
        <v>12.729498510374203</v>
      </c>
      <c r="S17" s="166" t="str" cm="1">
        <f t="array" aca="1" ref="S17" ca="1">IF(B17&lt;&gt;"",INDIRECT($AA17 &amp; "!$AB$46"),"")</f>
        <v/>
      </c>
      <c r="T17" s="166" t="str" cm="1">
        <f t="array" aca="1" ref="T17" ca="1">IF(B17&lt;&gt;"",INDIRECT($AA17 &amp; "!$AF$46"),"")</f>
        <v/>
      </c>
      <c r="U17" s="166" t="str" cm="1">
        <f t="array" aca="1" ref="U17" ca="1">IF(B17&lt;&gt;"",INDIRECT($AA17 &amp; "!$AB$47"),"")</f>
        <v/>
      </c>
      <c r="V17" s="166" t="str" cm="1">
        <f t="array" aca="1" ref="V17" ca="1">IF(B17&lt;&gt;"",INDIRECT($AA17 &amp; "!$AF$47"),"")</f>
        <v/>
      </c>
      <c r="W17" s="167" cm="1">
        <f t="array" aca="1" ref="W17" ca="1">IF(B17&lt;&gt;"",INDIRECT($AA17 &amp; "!$AF$54"),"")</f>
        <v>10</v>
      </c>
      <c r="X17" s="111"/>
      <c r="Z17" s="147"/>
      <c r="AA17" s="156" t="s">
        <v>85</v>
      </c>
      <c r="AB17" s="157"/>
      <c r="AC17" s="157"/>
      <c r="AD17" s="157"/>
      <c r="AE17" s="157"/>
      <c r="AF17" s="157"/>
      <c r="AG17" s="158"/>
      <c r="AR17" s="138"/>
    </row>
    <row r="18" spans="1:44" ht="22" customHeight="1" x14ac:dyDescent="0.3">
      <c r="A18" s="110"/>
      <c r="B18" s="164" t="str" cm="1">
        <f t="array" aca="1" ref="B18" ca="1">IF(AA18&lt;&gt;"",INDIRECT($AA18 &amp; "!$D$11"),"")</f>
        <v/>
      </c>
      <c r="C18" s="165" t="str" cm="1">
        <f t="array" aca="1" ref="C18" ca="1">IF(B18&lt;&gt;"",INDIRECT($AA18 &amp; "!$U$12"),"")</f>
        <v/>
      </c>
      <c r="D18" s="165" t="str" cm="1">
        <f t="array" aca="1" ref="D18" ca="1">IF(B18&lt;&gt;"",INDIRECT($AA18 &amp; "!AA$11"),"")</f>
        <v/>
      </c>
      <c r="E18" s="165" t="str" cm="1">
        <f t="array" aca="1" ref="E18" ca="1">IF(B18&lt;&gt;"",INDIRECT($AA18 &amp; "!$AB$11"),"")</f>
        <v/>
      </c>
      <c r="F18" s="166" t="str" cm="1">
        <f t="array" aca="1" ref="F18" ca="1">IF(B18&lt;&gt;"",INDIRECT($AA18 &amp; "!$AG$11"),"")</f>
        <v/>
      </c>
      <c r="G18" s="166" t="str" cm="1">
        <f t="array" aca="1" ref="G18" ca="1">IF(B18&lt;&gt;"",INDIRECT($AA18 &amp; "!$AB$40"),"")</f>
        <v/>
      </c>
      <c r="H18" s="166" t="str" cm="1">
        <f t="array" aca="1" ref="H18" ca="1">IF(B18&lt;&gt;"",INDIRECT($AA18 &amp; "!$AF$40"),"")</f>
        <v/>
      </c>
      <c r="I18" s="166" t="str" cm="1">
        <f t="array" aca="1" ref="I18" ca="1">IF(B18&lt;&gt;"",INDIRECT($AA18 &amp; "!$AB$41"),"")</f>
        <v/>
      </c>
      <c r="J18" s="166" t="str" cm="1">
        <f t="array" aca="1" ref="J18" ca="1">IF(B18&lt;&gt;"",INDIRECT($AA18 &amp; "!$AF$41"),"")</f>
        <v/>
      </c>
      <c r="K18" s="166" t="str" cm="1">
        <f t="array" aca="1" ref="K18" ca="1">IF(B18&lt;&gt;"",INDIRECT($AA18 &amp; "!$AB$42"),"")</f>
        <v/>
      </c>
      <c r="L18" s="166" t="str" cm="1">
        <f t="array" aca="1" ref="L18" ca="1">IF(B18&lt;&gt;"",INDIRECT($AA18 &amp; "!$AF$42"),"")</f>
        <v/>
      </c>
      <c r="M18" s="166" t="str" cm="1">
        <f t="array" aca="1" ref="M18" ca="1">IF(B18&lt;&gt;"",INDIRECT($AA18 &amp; "!$AB$43"),"")</f>
        <v/>
      </c>
      <c r="N18" s="166" t="str" cm="1">
        <f t="array" aca="1" ref="N18" ca="1">IF(B18&lt;&gt;"",INDIRECT($AA18 &amp; "!$AF$43"),"")</f>
        <v/>
      </c>
      <c r="O18" s="166" t="str" cm="1">
        <f t="array" aca="1" ref="O18" ca="1">IF(B18&lt;&gt;"",INDIRECT($AA18 &amp; "!$AB$44"),"")</f>
        <v/>
      </c>
      <c r="P18" s="166" t="str" cm="1">
        <f t="array" aca="1" ref="P18" ca="1">IF(B18&lt;&gt;"",INDIRECT($AA18 &amp; "!$AF$44"),"")</f>
        <v/>
      </c>
      <c r="Q18" s="166" t="str" cm="1">
        <f t="array" aca="1" ref="Q18" ca="1">IF(B18&lt;&gt;"",INDIRECT($AA18 &amp; "!$AB$45"),"")</f>
        <v/>
      </c>
      <c r="R18" s="166" t="str" cm="1">
        <f t="array" aca="1" ref="R18" ca="1">IF(B18&lt;&gt;"",INDIRECT($AA18 &amp; "!$AF$45"),"")</f>
        <v/>
      </c>
      <c r="S18" s="166" t="str" cm="1">
        <f t="array" aca="1" ref="S18" ca="1">IF(B18&lt;&gt;"",INDIRECT($AA18 &amp; "!$AB$46"),"")</f>
        <v/>
      </c>
      <c r="T18" s="166" t="str" cm="1">
        <f t="array" aca="1" ref="T18" ca="1">IF(B18&lt;&gt;"",INDIRECT($AA18 &amp; "!$AF$46"),"")</f>
        <v/>
      </c>
      <c r="U18" s="166" t="str" cm="1">
        <f t="array" aca="1" ref="U18" ca="1">IF(B18&lt;&gt;"",INDIRECT($AA18 &amp; "!$AB$47"),"")</f>
        <v/>
      </c>
      <c r="V18" s="166" t="str" cm="1">
        <f t="array" aca="1" ref="V18" ca="1">IF(B18&lt;&gt;"",INDIRECT($AA18 &amp; "!$AF$47"),"")</f>
        <v/>
      </c>
      <c r="W18" s="167" t="str" cm="1">
        <f t="array" aca="1" ref="W18" ca="1">IF(B18&lt;&gt;"",INDIRECT($AA18 &amp; "!$AF$54"),"")</f>
        <v/>
      </c>
      <c r="X18" s="111"/>
      <c r="Z18" s="147"/>
      <c r="AA18" s="156" t="str">
        <f t="shared" ref="AA18:AA34" si="0">IF(AI18&lt;&gt;"",AI18,"")</f>
        <v/>
      </c>
      <c r="AB18" s="154"/>
      <c r="AC18" s="154"/>
      <c r="AD18" s="154"/>
      <c r="AE18" s="154"/>
      <c r="AF18" s="154"/>
      <c r="AG18" s="155"/>
      <c r="AR18" s="138"/>
    </row>
    <row r="19" spans="1:44" ht="22" customHeight="1" x14ac:dyDescent="0.3">
      <c r="A19" s="110"/>
      <c r="B19" s="164" t="str" cm="1">
        <f t="array" aca="1" ref="B19" ca="1">IF(AA19&lt;&gt;"",INDIRECT($AA19 &amp; "!$D$11"),"")</f>
        <v/>
      </c>
      <c r="C19" s="165" t="str" cm="1">
        <f t="array" aca="1" ref="C19" ca="1">IF(B19&lt;&gt;"",INDIRECT($AA19 &amp; "!$U$12"),"")</f>
        <v/>
      </c>
      <c r="D19" s="165" t="str" cm="1">
        <f t="array" aca="1" ref="D19" ca="1">IF(B19&lt;&gt;"",INDIRECT($AA19 &amp; "!AA$11"),"")</f>
        <v/>
      </c>
      <c r="E19" s="165" t="str" cm="1">
        <f t="array" aca="1" ref="E19" ca="1">IF(B19&lt;&gt;"",INDIRECT($AA19 &amp; "!$AB$11"),"")</f>
        <v/>
      </c>
      <c r="F19" s="166" t="str" cm="1">
        <f t="array" aca="1" ref="F19" ca="1">IF(B19&lt;&gt;"",INDIRECT($AA19 &amp; "!$AG$11"),"")</f>
        <v/>
      </c>
      <c r="G19" s="166" t="str" cm="1">
        <f t="array" aca="1" ref="G19" ca="1">IF(B19&lt;&gt;"",INDIRECT($AA19 &amp; "!$AB$40"),"")</f>
        <v/>
      </c>
      <c r="H19" s="166" t="str" cm="1">
        <f t="array" aca="1" ref="H19" ca="1">IF(B19&lt;&gt;"",INDIRECT($AA19 &amp; "!$AF$40"),"")</f>
        <v/>
      </c>
      <c r="I19" s="166" t="str" cm="1">
        <f t="array" aca="1" ref="I19" ca="1">IF(B19&lt;&gt;"",INDIRECT($AA19 &amp; "!$AB$41"),"")</f>
        <v/>
      </c>
      <c r="J19" s="166" t="str" cm="1">
        <f t="array" aca="1" ref="J19" ca="1">IF(B19&lt;&gt;"",INDIRECT($AA19 &amp; "!$AF$41"),"")</f>
        <v/>
      </c>
      <c r="K19" s="166" t="str" cm="1">
        <f t="array" aca="1" ref="K19" ca="1">IF(B19&lt;&gt;"",INDIRECT($AA19 &amp; "!$AB$42"),"")</f>
        <v/>
      </c>
      <c r="L19" s="166" t="str" cm="1">
        <f t="array" aca="1" ref="L19" ca="1">IF(B19&lt;&gt;"",INDIRECT($AA19 &amp; "!$AF$42"),"")</f>
        <v/>
      </c>
      <c r="M19" s="166" t="str" cm="1">
        <f t="array" aca="1" ref="M19" ca="1">IF(B19&lt;&gt;"",INDIRECT($AA19 &amp; "!$AB$43"),"")</f>
        <v/>
      </c>
      <c r="N19" s="166" t="str" cm="1">
        <f t="array" aca="1" ref="N19" ca="1">IF(B19&lt;&gt;"",INDIRECT($AA19 &amp; "!$AF$43"),"")</f>
        <v/>
      </c>
      <c r="O19" s="166" t="str" cm="1">
        <f t="array" aca="1" ref="O19" ca="1">IF(B19&lt;&gt;"",INDIRECT($AA19 &amp; "!$AB$44"),"")</f>
        <v/>
      </c>
      <c r="P19" s="166" t="str" cm="1">
        <f t="array" aca="1" ref="P19" ca="1">IF(B19&lt;&gt;"",INDIRECT($AA19 &amp; "!$AF$44"),"")</f>
        <v/>
      </c>
      <c r="Q19" s="166" t="str" cm="1">
        <f t="array" aca="1" ref="Q19" ca="1">IF(B19&lt;&gt;"",INDIRECT($AA19 &amp; "!$AB$45"),"")</f>
        <v/>
      </c>
      <c r="R19" s="166" t="str" cm="1">
        <f t="array" aca="1" ref="R19" ca="1">IF(B19&lt;&gt;"",INDIRECT($AA19 &amp; "!$AF$45"),"")</f>
        <v/>
      </c>
      <c r="S19" s="166" t="str" cm="1">
        <f t="array" aca="1" ref="S19" ca="1">IF(B19&lt;&gt;"",INDIRECT($AA19 &amp; "!$AB$46"),"")</f>
        <v/>
      </c>
      <c r="T19" s="166" t="str" cm="1">
        <f t="array" aca="1" ref="T19" ca="1">IF(B19&lt;&gt;"",INDIRECT($AA19 &amp; "!$AF$46"),"")</f>
        <v/>
      </c>
      <c r="U19" s="166" t="str" cm="1">
        <f t="array" aca="1" ref="U19" ca="1">IF(B19&lt;&gt;"",INDIRECT($AA19 &amp; "!$AB$47"),"")</f>
        <v/>
      </c>
      <c r="V19" s="166" t="str" cm="1">
        <f t="array" aca="1" ref="V19" ca="1">IF(B19&lt;&gt;"",INDIRECT($AA19 &amp; "!$AF$47"),"")</f>
        <v/>
      </c>
      <c r="W19" s="167" t="str" cm="1">
        <f t="array" aca="1" ref="W19" ca="1">IF(B19&lt;&gt;"",INDIRECT($AA19 &amp; "!$AF$54"),"")</f>
        <v/>
      </c>
      <c r="X19" s="111"/>
      <c r="Z19" s="147"/>
      <c r="AA19" s="156" t="str">
        <f t="shared" si="0"/>
        <v/>
      </c>
      <c r="AB19" s="154"/>
      <c r="AC19" s="154"/>
      <c r="AD19" s="154"/>
      <c r="AE19" s="154"/>
      <c r="AF19" s="154"/>
      <c r="AG19" s="155"/>
      <c r="AR19" s="138"/>
    </row>
    <row r="20" spans="1:44" ht="22" customHeight="1" x14ac:dyDescent="0.3">
      <c r="A20" s="110"/>
      <c r="B20" s="164" t="str" cm="1">
        <f t="array" aca="1" ref="B20" ca="1">IF(AA20&lt;&gt;"",INDIRECT($AA20 &amp; "!$D$11"),"")</f>
        <v/>
      </c>
      <c r="C20" s="165" t="str" cm="1">
        <f t="array" aca="1" ref="C20" ca="1">IF(B20&lt;&gt;"",INDIRECT($AA20 &amp; "!$U$12"),"")</f>
        <v/>
      </c>
      <c r="D20" s="165" t="str" cm="1">
        <f t="array" aca="1" ref="D20" ca="1">IF(B20&lt;&gt;"",INDIRECT($AA20 &amp; "!AA$11"),"")</f>
        <v/>
      </c>
      <c r="E20" s="165" t="str" cm="1">
        <f t="array" aca="1" ref="E20" ca="1">IF(B20&lt;&gt;"",INDIRECT($AA20 &amp; "!$AB$11"),"")</f>
        <v/>
      </c>
      <c r="F20" s="166" t="str" cm="1">
        <f t="array" aca="1" ref="F20" ca="1">IF(B20&lt;&gt;"",INDIRECT($AA20 &amp; "!$AG$11"),"")</f>
        <v/>
      </c>
      <c r="G20" s="166" t="str" cm="1">
        <f t="array" aca="1" ref="G20" ca="1">IF(B20&lt;&gt;"",INDIRECT($AA20 &amp; "!$AB$40"),"")</f>
        <v/>
      </c>
      <c r="H20" s="166" t="str" cm="1">
        <f t="array" aca="1" ref="H20" ca="1">IF(B20&lt;&gt;"",INDIRECT($AA20 &amp; "!$AF$40"),"")</f>
        <v/>
      </c>
      <c r="I20" s="166" t="str" cm="1">
        <f t="array" aca="1" ref="I20" ca="1">IF(B20&lt;&gt;"",INDIRECT($AA20 &amp; "!$AB$41"),"")</f>
        <v/>
      </c>
      <c r="J20" s="166" t="str" cm="1">
        <f t="array" aca="1" ref="J20" ca="1">IF(B20&lt;&gt;"",INDIRECT($AA20 &amp; "!$AF$41"),"")</f>
        <v/>
      </c>
      <c r="K20" s="166" t="str" cm="1">
        <f t="array" aca="1" ref="K20" ca="1">IF(B20&lt;&gt;"",INDIRECT($AA20 &amp; "!$AB$42"),"")</f>
        <v/>
      </c>
      <c r="L20" s="166" t="str" cm="1">
        <f t="array" aca="1" ref="L20" ca="1">IF(B20&lt;&gt;"",INDIRECT($AA20 &amp; "!$AF$42"),"")</f>
        <v/>
      </c>
      <c r="M20" s="166" t="str" cm="1">
        <f t="array" aca="1" ref="M20" ca="1">IF(B20&lt;&gt;"",INDIRECT($AA20 &amp; "!$AB$43"),"")</f>
        <v/>
      </c>
      <c r="N20" s="166" t="str" cm="1">
        <f t="array" aca="1" ref="N20" ca="1">IF(B20&lt;&gt;"",INDIRECT($AA20 &amp; "!$AF$43"),"")</f>
        <v/>
      </c>
      <c r="O20" s="166" t="str" cm="1">
        <f t="array" aca="1" ref="O20" ca="1">IF(B20&lt;&gt;"",INDIRECT($AA20 &amp; "!$AB$44"),"")</f>
        <v/>
      </c>
      <c r="P20" s="166" t="str" cm="1">
        <f t="array" aca="1" ref="P20" ca="1">IF(B20&lt;&gt;"",INDIRECT($AA20 &amp; "!$AF$44"),"")</f>
        <v/>
      </c>
      <c r="Q20" s="166" t="str" cm="1">
        <f t="array" aca="1" ref="Q20" ca="1">IF(B20&lt;&gt;"",INDIRECT($AA20 &amp; "!$AB$45"),"")</f>
        <v/>
      </c>
      <c r="R20" s="166" t="str" cm="1">
        <f t="array" aca="1" ref="R20" ca="1">IF(B20&lt;&gt;"",INDIRECT($AA20 &amp; "!$AF$45"),"")</f>
        <v/>
      </c>
      <c r="S20" s="166" t="str" cm="1">
        <f t="array" aca="1" ref="S20" ca="1">IF(B20&lt;&gt;"",INDIRECT($AA20 &amp; "!$AB$46"),"")</f>
        <v/>
      </c>
      <c r="T20" s="166" t="str" cm="1">
        <f t="array" aca="1" ref="T20" ca="1">IF(B20&lt;&gt;"",INDIRECT($AA20 &amp; "!$AF$46"),"")</f>
        <v/>
      </c>
      <c r="U20" s="166" t="str" cm="1">
        <f t="array" aca="1" ref="U20" ca="1">IF(B20&lt;&gt;"",INDIRECT($AA20 &amp; "!$AB$47"),"")</f>
        <v/>
      </c>
      <c r="V20" s="166" t="str" cm="1">
        <f t="array" aca="1" ref="V20" ca="1">IF(B20&lt;&gt;"",INDIRECT($AA20 &amp; "!$AF$47"),"")</f>
        <v/>
      </c>
      <c r="W20" s="167" t="str" cm="1">
        <f t="array" aca="1" ref="W20" ca="1">IF(B20&lt;&gt;"",INDIRECT($AA20 &amp; "!$AF$54"),"")</f>
        <v/>
      </c>
      <c r="X20" s="111"/>
      <c r="Z20" s="147"/>
      <c r="AA20" s="156" t="str">
        <f t="shared" si="0"/>
        <v/>
      </c>
      <c r="AB20" s="154"/>
      <c r="AC20" s="154"/>
      <c r="AD20" s="154"/>
      <c r="AE20" s="154"/>
      <c r="AF20" s="154"/>
      <c r="AG20" s="155"/>
      <c r="AR20" s="138"/>
    </row>
    <row r="21" spans="1:44" ht="22" customHeight="1" x14ac:dyDescent="0.3">
      <c r="A21" s="110"/>
      <c r="B21" s="164" t="str" cm="1">
        <f t="array" aca="1" ref="B21" ca="1">IF(AA21&lt;&gt;"",INDIRECT($AA21 &amp; "!$D$11"),"")</f>
        <v/>
      </c>
      <c r="C21" s="165" t="str" cm="1">
        <f t="array" aca="1" ref="C21" ca="1">IF(B21&lt;&gt;"",INDIRECT($AA21 &amp; "!$U$12"),"")</f>
        <v/>
      </c>
      <c r="D21" s="165" t="str" cm="1">
        <f t="array" aca="1" ref="D21" ca="1">IF(B21&lt;&gt;"",INDIRECT($AA21 &amp; "!AA$11"),"")</f>
        <v/>
      </c>
      <c r="E21" s="165" t="str" cm="1">
        <f t="array" aca="1" ref="E21" ca="1">IF(B21&lt;&gt;"",INDIRECT($AA21 &amp; "!$AB$11"),"")</f>
        <v/>
      </c>
      <c r="F21" s="166" t="str" cm="1">
        <f t="array" aca="1" ref="F21" ca="1">IF(B21&lt;&gt;"",INDIRECT($AA21 &amp; "!$AG$11"),"")</f>
        <v/>
      </c>
      <c r="G21" s="166" t="str" cm="1">
        <f t="array" aca="1" ref="G21" ca="1">IF(B21&lt;&gt;"",INDIRECT($AA21 &amp; "!$AB$40"),"")</f>
        <v/>
      </c>
      <c r="H21" s="166" t="str" cm="1">
        <f t="array" aca="1" ref="H21" ca="1">IF(B21&lt;&gt;"",INDIRECT($AA21 &amp; "!$AF$40"),"")</f>
        <v/>
      </c>
      <c r="I21" s="166" t="str" cm="1">
        <f t="array" aca="1" ref="I21" ca="1">IF(B21&lt;&gt;"",INDIRECT($AA21 &amp; "!$AB$41"),"")</f>
        <v/>
      </c>
      <c r="J21" s="166" t="str" cm="1">
        <f t="array" aca="1" ref="J21" ca="1">IF(B21&lt;&gt;"",INDIRECT($AA21 &amp; "!$AF$41"),"")</f>
        <v/>
      </c>
      <c r="K21" s="166" t="str" cm="1">
        <f t="array" aca="1" ref="K21" ca="1">IF(B21&lt;&gt;"",INDIRECT($AA21 &amp; "!$AB$42"),"")</f>
        <v/>
      </c>
      <c r="L21" s="166" t="str" cm="1">
        <f t="array" aca="1" ref="L21" ca="1">IF(B21&lt;&gt;"",INDIRECT($AA21 &amp; "!$AF$42"),"")</f>
        <v/>
      </c>
      <c r="M21" s="166" t="str" cm="1">
        <f t="array" aca="1" ref="M21" ca="1">IF(B21&lt;&gt;"",INDIRECT($AA21 &amp; "!$AB$43"),"")</f>
        <v/>
      </c>
      <c r="N21" s="166" t="str" cm="1">
        <f t="array" aca="1" ref="N21" ca="1">IF(B21&lt;&gt;"",INDIRECT($AA21 &amp; "!$AF$43"),"")</f>
        <v/>
      </c>
      <c r="O21" s="166" t="str" cm="1">
        <f t="array" aca="1" ref="O21" ca="1">IF(B21&lt;&gt;"",INDIRECT($AA21 &amp; "!$AB$44"),"")</f>
        <v/>
      </c>
      <c r="P21" s="166" t="str" cm="1">
        <f t="array" aca="1" ref="P21" ca="1">IF(B21&lt;&gt;"",INDIRECT($AA21 &amp; "!$AF$44"),"")</f>
        <v/>
      </c>
      <c r="Q21" s="166" t="str" cm="1">
        <f t="array" aca="1" ref="Q21" ca="1">IF(B21&lt;&gt;"",INDIRECT($AA21 &amp; "!$AB$45"),"")</f>
        <v/>
      </c>
      <c r="R21" s="166" t="str" cm="1">
        <f t="array" aca="1" ref="R21" ca="1">IF(B21&lt;&gt;"",INDIRECT($AA21 &amp; "!$AF$45"),"")</f>
        <v/>
      </c>
      <c r="S21" s="166" t="str" cm="1">
        <f t="array" aca="1" ref="S21" ca="1">IF(B21&lt;&gt;"",INDIRECT($AA21 &amp; "!$AB$46"),"")</f>
        <v/>
      </c>
      <c r="T21" s="166" t="str" cm="1">
        <f t="array" aca="1" ref="T21" ca="1">IF(B21&lt;&gt;"",INDIRECT($AA21 &amp; "!$AF$46"),"")</f>
        <v/>
      </c>
      <c r="U21" s="166" t="str" cm="1">
        <f t="array" aca="1" ref="U21" ca="1">IF(B21&lt;&gt;"",INDIRECT($AA21 &amp; "!$AB$47"),"")</f>
        <v/>
      </c>
      <c r="V21" s="166" t="str" cm="1">
        <f t="array" aca="1" ref="V21" ca="1">IF(B21&lt;&gt;"",INDIRECT($AA21 &amp; "!$AF$47"),"")</f>
        <v/>
      </c>
      <c r="W21" s="167" t="str" cm="1">
        <f t="array" aca="1" ref="W21" ca="1">IF(B21&lt;&gt;"",INDIRECT($AA21 &amp; "!$AF$54"),"")</f>
        <v/>
      </c>
      <c r="X21" s="111"/>
      <c r="Z21" s="147"/>
      <c r="AA21" s="156" t="str">
        <f t="shared" si="0"/>
        <v/>
      </c>
      <c r="AB21" s="154"/>
      <c r="AC21" s="154"/>
      <c r="AD21" s="154"/>
      <c r="AE21" s="154"/>
      <c r="AF21" s="154"/>
      <c r="AG21" s="155"/>
      <c r="AR21" s="138"/>
    </row>
    <row r="22" spans="1:44" ht="22" customHeight="1" x14ac:dyDescent="0.3">
      <c r="A22" s="110"/>
      <c r="B22" s="164" t="str" cm="1">
        <f t="array" aca="1" ref="B22" ca="1">IF(AA22&lt;&gt;"",INDIRECT($AA22 &amp; "!$D$11"),"")</f>
        <v/>
      </c>
      <c r="C22" s="165" t="str" cm="1">
        <f t="array" aca="1" ref="C22" ca="1">IF(B22&lt;&gt;"",INDIRECT($AA22 &amp; "!$U$12"),"")</f>
        <v/>
      </c>
      <c r="D22" s="165" t="str" cm="1">
        <f t="array" aca="1" ref="D22" ca="1">IF(B22&lt;&gt;"",INDIRECT($AA22 &amp; "!AA$11"),"")</f>
        <v/>
      </c>
      <c r="E22" s="165" t="str" cm="1">
        <f t="array" aca="1" ref="E22" ca="1">IF(B22&lt;&gt;"",INDIRECT($AA22 &amp; "!$AB$11"),"")</f>
        <v/>
      </c>
      <c r="F22" s="166" t="str" cm="1">
        <f t="array" aca="1" ref="F22" ca="1">IF(B22&lt;&gt;"",INDIRECT($AA22 &amp; "!$AG$11"),"")</f>
        <v/>
      </c>
      <c r="G22" s="166" t="str" cm="1">
        <f t="array" aca="1" ref="G22" ca="1">IF(B22&lt;&gt;"",INDIRECT($AA22 &amp; "!$AB$40"),"")</f>
        <v/>
      </c>
      <c r="H22" s="166" t="str" cm="1">
        <f t="array" aca="1" ref="H22" ca="1">IF(B22&lt;&gt;"",INDIRECT($AA22 &amp; "!$AF$40"),"")</f>
        <v/>
      </c>
      <c r="I22" s="166" t="str" cm="1">
        <f t="array" aca="1" ref="I22" ca="1">IF(B22&lt;&gt;"",INDIRECT($AA22 &amp; "!$AB$41"),"")</f>
        <v/>
      </c>
      <c r="J22" s="166" t="str" cm="1">
        <f t="array" aca="1" ref="J22" ca="1">IF(B22&lt;&gt;"",INDIRECT($AA22 &amp; "!$AF$41"),"")</f>
        <v/>
      </c>
      <c r="K22" s="166" t="str" cm="1">
        <f t="array" aca="1" ref="K22" ca="1">IF(B22&lt;&gt;"",INDIRECT($AA22 &amp; "!$AB$42"),"")</f>
        <v/>
      </c>
      <c r="L22" s="166" t="str" cm="1">
        <f t="array" aca="1" ref="L22" ca="1">IF(B22&lt;&gt;"",INDIRECT($AA22 &amp; "!$AF$42"),"")</f>
        <v/>
      </c>
      <c r="M22" s="166" t="str" cm="1">
        <f t="array" aca="1" ref="M22" ca="1">IF(B22&lt;&gt;"",INDIRECT($AA22 &amp; "!$AB$43"),"")</f>
        <v/>
      </c>
      <c r="N22" s="166" t="str" cm="1">
        <f t="array" aca="1" ref="N22" ca="1">IF(B22&lt;&gt;"",INDIRECT($AA22 &amp; "!$AF$43"),"")</f>
        <v/>
      </c>
      <c r="O22" s="166" t="str" cm="1">
        <f t="array" aca="1" ref="O22" ca="1">IF(B22&lt;&gt;"",INDIRECT($AA22 &amp; "!$AB$44"),"")</f>
        <v/>
      </c>
      <c r="P22" s="166" t="str" cm="1">
        <f t="array" aca="1" ref="P22" ca="1">IF(B22&lt;&gt;"",INDIRECT($AA22 &amp; "!$AF$44"),"")</f>
        <v/>
      </c>
      <c r="Q22" s="166" t="str" cm="1">
        <f t="array" aca="1" ref="Q22" ca="1">IF(B22&lt;&gt;"",INDIRECT($AA22 &amp; "!$AB$45"),"")</f>
        <v/>
      </c>
      <c r="R22" s="166" t="str" cm="1">
        <f t="array" aca="1" ref="R22" ca="1">IF(B22&lt;&gt;"",INDIRECT($AA22 &amp; "!$AF$45"),"")</f>
        <v/>
      </c>
      <c r="S22" s="166" t="str" cm="1">
        <f t="array" aca="1" ref="S22" ca="1">IF(B22&lt;&gt;"",INDIRECT($AA22 &amp; "!$AB$46"),"")</f>
        <v/>
      </c>
      <c r="T22" s="166" t="str" cm="1">
        <f t="array" aca="1" ref="T22" ca="1">IF(B22&lt;&gt;"",INDIRECT($AA22 &amp; "!$AF$46"),"")</f>
        <v/>
      </c>
      <c r="U22" s="166" t="str" cm="1">
        <f t="array" aca="1" ref="U22" ca="1">IF(B22&lt;&gt;"",INDIRECT($AA22 &amp; "!$AB$47"),"")</f>
        <v/>
      </c>
      <c r="V22" s="166" t="str" cm="1">
        <f t="array" aca="1" ref="V22" ca="1">IF(B22&lt;&gt;"",INDIRECT($AA22 &amp; "!$AF$47"),"")</f>
        <v/>
      </c>
      <c r="W22" s="167" t="str" cm="1">
        <f t="array" aca="1" ref="W22" ca="1">IF(B22&lt;&gt;"",INDIRECT($AA22 &amp; "!$AF$54"),"")</f>
        <v/>
      </c>
      <c r="X22" s="111"/>
      <c r="Z22" s="147"/>
      <c r="AA22" s="156" t="str">
        <f t="shared" si="0"/>
        <v/>
      </c>
      <c r="AB22" s="154"/>
      <c r="AC22" s="154"/>
      <c r="AD22" s="154"/>
      <c r="AE22" s="154"/>
      <c r="AF22" s="154"/>
      <c r="AG22" s="155"/>
      <c r="AR22" s="138"/>
    </row>
    <row r="23" spans="1:44" ht="22" customHeight="1" x14ac:dyDescent="0.3">
      <c r="A23" s="110"/>
      <c r="B23" s="164" t="str" cm="1">
        <f t="array" aca="1" ref="B23" ca="1">IF(AA23&lt;&gt;"",INDIRECT($AA23 &amp; "!$D$11"),"")</f>
        <v/>
      </c>
      <c r="C23" s="165" t="str" cm="1">
        <f t="array" aca="1" ref="C23" ca="1">IF(B23&lt;&gt;"",INDIRECT($AA23 &amp; "!$U$12"),"")</f>
        <v/>
      </c>
      <c r="D23" s="165" t="str" cm="1">
        <f t="array" aca="1" ref="D23" ca="1">IF(B23&lt;&gt;"",INDIRECT($AA23 &amp; "!AA$11"),"")</f>
        <v/>
      </c>
      <c r="E23" s="165" t="str" cm="1">
        <f t="array" aca="1" ref="E23" ca="1">IF(B23&lt;&gt;"",INDIRECT($AA23 &amp; "!$AB$11"),"")</f>
        <v/>
      </c>
      <c r="F23" s="166" t="str" cm="1">
        <f t="array" aca="1" ref="F23" ca="1">IF(B23&lt;&gt;"",INDIRECT($AA23 &amp; "!$AG$11"),"")</f>
        <v/>
      </c>
      <c r="G23" s="166" t="str" cm="1">
        <f t="array" aca="1" ref="G23" ca="1">IF(B23&lt;&gt;"",INDIRECT($AA23 &amp; "!$AB$40"),"")</f>
        <v/>
      </c>
      <c r="H23" s="166" t="str" cm="1">
        <f t="array" aca="1" ref="H23" ca="1">IF(B23&lt;&gt;"",INDIRECT($AA23 &amp; "!$AF$40"),"")</f>
        <v/>
      </c>
      <c r="I23" s="166" t="str" cm="1">
        <f t="array" aca="1" ref="I23" ca="1">IF(B23&lt;&gt;"",INDIRECT($AA23 &amp; "!$AB$41"),"")</f>
        <v/>
      </c>
      <c r="J23" s="166" t="str" cm="1">
        <f t="array" aca="1" ref="J23" ca="1">IF(B23&lt;&gt;"",INDIRECT($AA23 &amp; "!$AF$41"),"")</f>
        <v/>
      </c>
      <c r="K23" s="166" t="str" cm="1">
        <f t="array" aca="1" ref="K23" ca="1">IF(B23&lt;&gt;"",INDIRECT($AA23 &amp; "!$AB$42"),"")</f>
        <v/>
      </c>
      <c r="L23" s="166" t="str" cm="1">
        <f t="array" aca="1" ref="L23" ca="1">IF(B23&lt;&gt;"",INDIRECT($AA23 &amp; "!$AF$42"),"")</f>
        <v/>
      </c>
      <c r="M23" s="166" t="str" cm="1">
        <f t="array" aca="1" ref="M23" ca="1">IF(B23&lt;&gt;"",INDIRECT($AA23 &amp; "!$AB$43"),"")</f>
        <v/>
      </c>
      <c r="N23" s="166" t="str" cm="1">
        <f t="array" aca="1" ref="N23" ca="1">IF(B23&lt;&gt;"",INDIRECT($AA23 &amp; "!$AF$43"),"")</f>
        <v/>
      </c>
      <c r="O23" s="166" t="str" cm="1">
        <f t="array" aca="1" ref="O23" ca="1">IF(B23&lt;&gt;"",INDIRECT($AA23 &amp; "!$AB$44"),"")</f>
        <v/>
      </c>
      <c r="P23" s="166" t="str" cm="1">
        <f t="array" aca="1" ref="P23" ca="1">IF(B23&lt;&gt;"",INDIRECT($AA23 &amp; "!$AF$44"),"")</f>
        <v/>
      </c>
      <c r="Q23" s="166" t="str" cm="1">
        <f t="array" aca="1" ref="Q23" ca="1">IF(B23&lt;&gt;"",INDIRECT($AA23 &amp; "!$AB$45"),"")</f>
        <v/>
      </c>
      <c r="R23" s="166" t="str" cm="1">
        <f t="array" aca="1" ref="R23" ca="1">IF(B23&lt;&gt;"",INDIRECT($AA23 &amp; "!$AF$45"),"")</f>
        <v/>
      </c>
      <c r="S23" s="166" t="str" cm="1">
        <f t="array" aca="1" ref="S23" ca="1">IF(B23&lt;&gt;"",INDIRECT($AA23 &amp; "!$AB$46"),"")</f>
        <v/>
      </c>
      <c r="T23" s="166" t="str" cm="1">
        <f t="array" aca="1" ref="T23" ca="1">IF(B23&lt;&gt;"",INDIRECT($AA23 &amp; "!$AF$46"),"")</f>
        <v/>
      </c>
      <c r="U23" s="166" t="str" cm="1">
        <f t="array" aca="1" ref="U23" ca="1">IF(B23&lt;&gt;"",INDIRECT($AA23 &amp; "!$AB$47"),"")</f>
        <v/>
      </c>
      <c r="V23" s="166" t="str" cm="1">
        <f t="array" aca="1" ref="V23" ca="1">IF(B23&lt;&gt;"",INDIRECT($AA23 &amp; "!$AF$47"),"")</f>
        <v/>
      </c>
      <c r="W23" s="167" t="str" cm="1">
        <f t="array" aca="1" ref="W23" ca="1">IF(B23&lt;&gt;"",INDIRECT($AA23 &amp; "!$AF$54"),"")</f>
        <v/>
      </c>
      <c r="X23" s="111"/>
      <c r="Z23" s="147"/>
      <c r="AA23" s="156" t="str">
        <f t="shared" si="0"/>
        <v/>
      </c>
      <c r="AB23" s="154"/>
      <c r="AC23" s="154"/>
      <c r="AD23" s="154"/>
      <c r="AE23" s="154"/>
      <c r="AF23" s="154"/>
      <c r="AG23" s="155"/>
      <c r="AR23" s="138"/>
    </row>
    <row r="24" spans="1:44" ht="22" customHeight="1" x14ac:dyDescent="0.3">
      <c r="A24" s="110"/>
      <c r="B24" s="164" t="str" cm="1">
        <f t="array" aca="1" ref="B24" ca="1">IF(AA24&lt;&gt;"",INDIRECT($AA24 &amp; "!$D$11"),"")</f>
        <v/>
      </c>
      <c r="C24" s="165" t="str" cm="1">
        <f t="array" aca="1" ref="C24" ca="1">IF(B24&lt;&gt;"",INDIRECT($AA24 &amp; "!$U$12"),"")</f>
        <v/>
      </c>
      <c r="D24" s="165" t="str" cm="1">
        <f t="array" aca="1" ref="D24" ca="1">IF(B24&lt;&gt;"",INDIRECT($AA24 &amp; "!AA$11"),"")</f>
        <v/>
      </c>
      <c r="E24" s="165" t="str" cm="1">
        <f t="array" aca="1" ref="E24" ca="1">IF(B24&lt;&gt;"",INDIRECT($AA24 &amp; "!$AB$11"),"")</f>
        <v/>
      </c>
      <c r="F24" s="166" t="str" cm="1">
        <f t="array" aca="1" ref="F24" ca="1">IF(B24&lt;&gt;"",INDIRECT($AA24 &amp; "!$AG$11"),"")</f>
        <v/>
      </c>
      <c r="G24" s="166" t="str" cm="1">
        <f t="array" aca="1" ref="G24" ca="1">IF(B24&lt;&gt;"",INDIRECT($AA24 &amp; "!$AB$40"),"")</f>
        <v/>
      </c>
      <c r="H24" s="166" t="str" cm="1">
        <f t="array" aca="1" ref="H24" ca="1">IF(B24&lt;&gt;"",INDIRECT($AA24 &amp; "!$AF$40"),"")</f>
        <v/>
      </c>
      <c r="I24" s="166" t="str" cm="1">
        <f t="array" aca="1" ref="I24" ca="1">IF(B24&lt;&gt;"",INDIRECT($AA24 &amp; "!$AB$41"),"")</f>
        <v/>
      </c>
      <c r="J24" s="166" t="str" cm="1">
        <f t="array" aca="1" ref="J24" ca="1">IF(B24&lt;&gt;"",INDIRECT($AA24 &amp; "!$AF$41"),"")</f>
        <v/>
      </c>
      <c r="K24" s="166" t="str" cm="1">
        <f t="array" aca="1" ref="K24" ca="1">IF(B24&lt;&gt;"",INDIRECT($AA24 &amp; "!$AB$42"),"")</f>
        <v/>
      </c>
      <c r="L24" s="166" t="str" cm="1">
        <f t="array" aca="1" ref="L24" ca="1">IF(B24&lt;&gt;"",INDIRECT($AA24 &amp; "!$AF$42"),"")</f>
        <v/>
      </c>
      <c r="M24" s="166" t="str" cm="1">
        <f t="array" aca="1" ref="M24" ca="1">IF(B24&lt;&gt;"",INDIRECT($AA24 &amp; "!$AB$43"),"")</f>
        <v/>
      </c>
      <c r="N24" s="166" t="str" cm="1">
        <f t="array" aca="1" ref="N24" ca="1">IF(B24&lt;&gt;"",INDIRECT($AA24 &amp; "!$AF$43"),"")</f>
        <v/>
      </c>
      <c r="O24" s="166" t="str" cm="1">
        <f t="array" aca="1" ref="O24" ca="1">IF(B24&lt;&gt;"",INDIRECT($AA24 &amp; "!$AB$44"),"")</f>
        <v/>
      </c>
      <c r="P24" s="166" t="str" cm="1">
        <f t="array" aca="1" ref="P24" ca="1">IF(B24&lt;&gt;"",INDIRECT($AA24 &amp; "!$AF$44"),"")</f>
        <v/>
      </c>
      <c r="Q24" s="166" t="str" cm="1">
        <f t="array" aca="1" ref="Q24" ca="1">IF(B24&lt;&gt;"",INDIRECT($AA24 &amp; "!$AB$45"),"")</f>
        <v/>
      </c>
      <c r="R24" s="166" t="str" cm="1">
        <f t="array" aca="1" ref="R24" ca="1">IF(B24&lt;&gt;"",INDIRECT($AA24 &amp; "!$AF$45"),"")</f>
        <v/>
      </c>
      <c r="S24" s="166" t="str" cm="1">
        <f t="array" aca="1" ref="S24" ca="1">IF(B24&lt;&gt;"",INDIRECT($AA24 &amp; "!$AB$46"),"")</f>
        <v/>
      </c>
      <c r="T24" s="166" t="str" cm="1">
        <f t="array" aca="1" ref="T24" ca="1">IF(B24&lt;&gt;"",INDIRECT($AA24 &amp; "!$AF$46"),"")</f>
        <v/>
      </c>
      <c r="U24" s="166" t="str" cm="1">
        <f t="array" aca="1" ref="U24" ca="1">IF(B24&lt;&gt;"",INDIRECT($AA24 &amp; "!$AB$47"),"")</f>
        <v/>
      </c>
      <c r="V24" s="166" t="str" cm="1">
        <f t="array" aca="1" ref="V24" ca="1">IF(B24&lt;&gt;"",INDIRECT($AA24 &amp; "!$AF$47"),"")</f>
        <v/>
      </c>
      <c r="W24" s="167" t="str" cm="1">
        <f t="array" aca="1" ref="W24" ca="1">IF(B24&lt;&gt;"",INDIRECT($AA24 &amp; "!$AF$54"),"")</f>
        <v/>
      </c>
      <c r="X24" s="111"/>
      <c r="Z24" s="147"/>
      <c r="AA24" s="156" t="str">
        <f t="shared" si="0"/>
        <v/>
      </c>
      <c r="AB24" s="154"/>
      <c r="AC24" s="154"/>
      <c r="AD24" s="154"/>
      <c r="AE24" s="154"/>
      <c r="AF24" s="154"/>
      <c r="AG24" s="155"/>
      <c r="AR24" s="138"/>
    </row>
    <row r="25" spans="1:44" ht="22" customHeight="1" x14ac:dyDescent="0.3">
      <c r="A25" s="110"/>
      <c r="B25" s="164" t="str" cm="1">
        <f t="array" aca="1" ref="B25" ca="1">IF(AA25&lt;&gt;"",INDIRECT($AA25 &amp; "!$D$11"),"")</f>
        <v/>
      </c>
      <c r="C25" s="165" t="str" cm="1">
        <f t="array" aca="1" ref="C25" ca="1">IF(B25&lt;&gt;"",INDIRECT($AA25 &amp; "!$U$12"),"")</f>
        <v/>
      </c>
      <c r="D25" s="165" t="str" cm="1">
        <f t="array" aca="1" ref="D25" ca="1">IF(B25&lt;&gt;"",INDIRECT($AA25 &amp; "!AA$11"),"")</f>
        <v/>
      </c>
      <c r="E25" s="165" t="str" cm="1">
        <f t="array" aca="1" ref="E25" ca="1">IF(B25&lt;&gt;"",INDIRECT($AA25 &amp; "!$AB$11"),"")</f>
        <v/>
      </c>
      <c r="F25" s="166" t="str" cm="1">
        <f t="array" aca="1" ref="F25" ca="1">IF(B25&lt;&gt;"",INDIRECT($AA25 &amp; "!$AG$11"),"")</f>
        <v/>
      </c>
      <c r="G25" s="166" t="str" cm="1">
        <f t="array" aca="1" ref="G25" ca="1">IF(B25&lt;&gt;"",INDIRECT($AA25 &amp; "!$AB$40"),"")</f>
        <v/>
      </c>
      <c r="H25" s="166" t="str" cm="1">
        <f t="array" aca="1" ref="H25" ca="1">IF(B25&lt;&gt;"",INDIRECT($AA25 &amp; "!$AF$40"),"")</f>
        <v/>
      </c>
      <c r="I25" s="166" t="str" cm="1">
        <f t="array" aca="1" ref="I25" ca="1">IF(B25&lt;&gt;"",INDIRECT($AA25 &amp; "!$AB$41"),"")</f>
        <v/>
      </c>
      <c r="J25" s="166" t="str" cm="1">
        <f t="array" aca="1" ref="J25" ca="1">IF(B25&lt;&gt;"",INDIRECT($AA25 &amp; "!$AF$41"),"")</f>
        <v/>
      </c>
      <c r="K25" s="166" t="str" cm="1">
        <f t="array" aca="1" ref="K25" ca="1">IF(B25&lt;&gt;"",INDIRECT($AA25 &amp; "!$AB$42"),"")</f>
        <v/>
      </c>
      <c r="L25" s="166" t="str" cm="1">
        <f t="array" aca="1" ref="L25" ca="1">IF(B25&lt;&gt;"",INDIRECT($AA25 &amp; "!$AF$42"),"")</f>
        <v/>
      </c>
      <c r="M25" s="166" t="str" cm="1">
        <f t="array" aca="1" ref="M25" ca="1">IF(B25&lt;&gt;"",INDIRECT($AA25 &amp; "!$AB$43"),"")</f>
        <v/>
      </c>
      <c r="N25" s="166" t="str" cm="1">
        <f t="array" aca="1" ref="N25" ca="1">IF(B25&lt;&gt;"",INDIRECT($AA25 &amp; "!$AF$43"),"")</f>
        <v/>
      </c>
      <c r="O25" s="166" t="str" cm="1">
        <f t="array" aca="1" ref="O25" ca="1">IF(B25&lt;&gt;"",INDIRECT($AA25 &amp; "!$AB$44"),"")</f>
        <v/>
      </c>
      <c r="P25" s="166" t="str" cm="1">
        <f t="array" aca="1" ref="P25" ca="1">IF(B25&lt;&gt;"",INDIRECT($AA25 &amp; "!$AF$44"),"")</f>
        <v/>
      </c>
      <c r="Q25" s="166" t="str" cm="1">
        <f t="array" aca="1" ref="Q25" ca="1">IF(B25&lt;&gt;"",INDIRECT($AA25 &amp; "!$AB$45"),"")</f>
        <v/>
      </c>
      <c r="R25" s="166" t="str" cm="1">
        <f t="array" aca="1" ref="R25" ca="1">IF(B25&lt;&gt;"",INDIRECT($AA25 &amp; "!$AF$45"),"")</f>
        <v/>
      </c>
      <c r="S25" s="166" t="str" cm="1">
        <f t="array" aca="1" ref="S25" ca="1">IF(B25&lt;&gt;"",INDIRECT($AA25 &amp; "!$AB$46"),"")</f>
        <v/>
      </c>
      <c r="T25" s="166" t="str" cm="1">
        <f t="array" aca="1" ref="T25" ca="1">IF(B25&lt;&gt;"",INDIRECT($AA25 &amp; "!$AF$46"),"")</f>
        <v/>
      </c>
      <c r="U25" s="166" t="str" cm="1">
        <f t="array" aca="1" ref="U25" ca="1">IF(B25&lt;&gt;"",INDIRECT($AA25 &amp; "!$AB$47"),"")</f>
        <v/>
      </c>
      <c r="V25" s="166" t="str" cm="1">
        <f t="array" aca="1" ref="V25" ca="1">IF(B25&lt;&gt;"",INDIRECT($AA25 &amp; "!$AF$47"),"")</f>
        <v/>
      </c>
      <c r="W25" s="167" t="str" cm="1">
        <f t="array" aca="1" ref="W25" ca="1">IF(B25&lt;&gt;"",INDIRECT($AA25 &amp; "!$AF$54"),"")</f>
        <v/>
      </c>
      <c r="X25" s="111"/>
      <c r="Z25" s="147"/>
      <c r="AA25" s="156" t="str">
        <f t="shared" si="0"/>
        <v/>
      </c>
      <c r="AB25" s="154"/>
      <c r="AC25" s="154"/>
      <c r="AD25" s="154"/>
      <c r="AE25" s="154"/>
      <c r="AF25" s="154"/>
      <c r="AG25" s="155"/>
      <c r="AR25" s="138"/>
    </row>
    <row r="26" spans="1:44" ht="22" customHeight="1" x14ac:dyDescent="0.3">
      <c r="A26" s="110"/>
      <c r="B26" s="164" t="str" cm="1">
        <f t="array" aca="1" ref="B26" ca="1">IF(AA26&lt;&gt;"",INDIRECT($AA26 &amp; "!$D$11"),"")</f>
        <v/>
      </c>
      <c r="C26" s="165" t="str" cm="1">
        <f t="array" aca="1" ref="C26" ca="1">IF(B26&lt;&gt;"",INDIRECT($AA26 &amp; "!$U$12"),"")</f>
        <v/>
      </c>
      <c r="D26" s="165" t="str" cm="1">
        <f t="array" aca="1" ref="D26" ca="1">IF(B26&lt;&gt;"",INDIRECT($AA26 &amp; "!AA$11"),"")</f>
        <v/>
      </c>
      <c r="E26" s="165" t="str" cm="1">
        <f t="array" aca="1" ref="E26" ca="1">IF(B26&lt;&gt;"",INDIRECT($AA26 &amp; "!$AB$11"),"")</f>
        <v/>
      </c>
      <c r="F26" s="166" t="str" cm="1">
        <f t="array" aca="1" ref="F26" ca="1">IF(B26&lt;&gt;"",INDIRECT($AA26 &amp; "!$AG$11"),"")</f>
        <v/>
      </c>
      <c r="G26" s="166" t="str" cm="1">
        <f t="array" aca="1" ref="G26" ca="1">IF(B26&lt;&gt;"",INDIRECT($AA26 &amp; "!$AB$40"),"")</f>
        <v/>
      </c>
      <c r="H26" s="166" t="str" cm="1">
        <f t="array" aca="1" ref="H26" ca="1">IF(B26&lt;&gt;"",INDIRECT($AA26 &amp; "!$AF$40"),"")</f>
        <v/>
      </c>
      <c r="I26" s="166" t="str" cm="1">
        <f t="array" aca="1" ref="I26" ca="1">IF(B26&lt;&gt;"",INDIRECT($AA26 &amp; "!$AB$41"),"")</f>
        <v/>
      </c>
      <c r="J26" s="166" t="str" cm="1">
        <f t="array" aca="1" ref="J26" ca="1">IF(B26&lt;&gt;"",INDIRECT($AA26 &amp; "!$AF$41"),"")</f>
        <v/>
      </c>
      <c r="K26" s="166" t="str" cm="1">
        <f t="array" aca="1" ref="K26" ca="1">IF(B26&lt;&gt;"",INDIRECT($AA26 &amp; "!$AB$42"),"")</f>
        <v/>
      </c>
      <c r="L26" s="166" t="str" cm="1">
        <f t="array" aca="1" ref="L26" ca="1">IF(B26&lt;&gt;"",INDIRECT($AA26 &amp; "!$AF$42"),"")</f>
        <v/>
      </c>
      <c r="M26" s="166" t="str" cm="1">
        <f t="array" aca="1" ref="M26" ca="1">IF(B26&lt;&gt;"",INDIRECT($AA26 &amp; "!$AB$43"),"")</f>
        <v/>
      </c>
      <c r="N26" s="166" t="str" cm="1">
        <f t="array" aca="1" ref="N26" ca="1">IF(B26&lt;&gt;"",INDIRECT($AA26 &amp; "!$AF$43"),"")</f>
        <v/>
      </c>
      <c r="O26" s="166" t="str" cm="1">
        <f t="array" aca="1" ref="O26" ca="1">IF(B26&lt;&gt;"",INDIRECT($AA26 &amp; "!$AB$44"),"")</f>
        <v/>
      </c>
      <c r="P26" s="166" t="str" cm="1">
        <f t="array" aca="1" ref="P26" ca="1">IF(B26&lt;&gt;"",INDIRECT($AA26 &amp; "!$AF$44"),"")</f>
        <v/>
      </c>
      <c r="Q26" s="166" t="str" cm="1">
        <f t="array" aca="1" ref="Q26" ca="1">IF(B26&lt;&gt;"",INDIRECT($AA26 &amp; "!$AB$45"),"")</f>
        <v/>
      </c>
      <c r="R26" s="166" t="str" cm="1">
        <f t="array" aca="1" ref="R26" ca="1">IF(B26&lt;&gt;"",INDIRECT($AA26 &amp; "!$AF$45"),"")</f>
        <v/>
      </c>
      <c r="S26" s="166" t="str" cm="1">
        <f t="array" aca="1" ref="S26" ca="1">IF(B26&lt;&gt;"",INDIRECT($AA26 &amp; "!$AB$46"),"")</f>
        <v/>
      </c>
      <c r="T26" s="166" t="str" cm="1">
        <f t="array" aca="1" ref="T26" ca="1">IF(B26&lt;&gt;"",INDIRECT($AA26 &amp; "!$AF$46"),"")</f>
        <v/>
      </c>
      <c r="U26" s="166" t="str" cm="1">
        <f t="array" aca="1" ref="U26" ca="1">IF(B26&lt;&gt;"",INDIRECT($AA26 &amp; "!$AB$47"),"")</f>
        <v/>
      </c>
      <c r="V26" s="166" t="str" cm="1">
        <f t="array" aca="1" ref="V26" ca="1">IF(B26&lt;&gt;"",INDIRECT($AA26 &amp; "!$AF$47"),"")</f>
        <v/>
      </c>
      <c r="W26" s="167" t="str" cm="1">
        <f t="array" aca="1" ref="W26" ca="1">IF(B26&lt;&gt;"",INDIRECT($AA26 &amp; "!$AF$54"),"")</f>
        <v/>
      </c>
      <c r="X26" s="111"/>
      <c r="Z26" s="147"/>
      <c r="AA26" s="156" t="str">
        <f t="shared" si="0"/>
        <v/>
      </c>
      <c r="AB26" s="154"/>
      <c r="AC26" s="154"/>
      <c r="AD26" s="154"/>
      <c r="AE26" s="154"/>
      <c r="AF26" s="154"/>
      <c r="AG26" s="155"/>
      <c r="AR26" s="138"/>
    </row>
    <row r="27" spans="1:44" ht="22" customHeight="1" x14ac:dyDescent="0.3">
      <c r="A27" s="110"/>
      <c r="B27" s="164" t="str" cm="1">
        <f t="array" aca="1" ref="B27" ca="1">IF(AA27&lt;&gt;"",INDIRECT($AA27 &amp; "!$D$11"),"")</f>
        <v/>
      </c>
      <c r="C27" s="165" t="str" cm="1">
        <f t="array" aca="1" ref="C27" ca="1">IF(B27&lt;&gt;"",INDIRECT($AA27 &amp; "!$U$12"),"")</f>
        <v/>
      </c>
      <c r="D27" s="165" t="str" cm="1">
        <f t="array" aca="1" ref="D27" ca="1">IF(B27&lt;&gt;"",INDIRECT($AA27 &amp; "!AA$11"),"")</f>
        <v/>
      </c>
      <c r="E27" s="165" t="str" cm="1">
        <f t="array" aca="1" ref="E27" ca="1">IF(B27&lt;&gt;"",INDIRECT($AA27 &amp; "!$AB$11"),"")</f>
        <v/>
      </c>
      <c r="F27" s="166" t="str" cm="1">
        <f t="array" aca="1" ref="F27" ca="1">IF(B27&lt;&gt;"",INDIRECT($AA27 &amp; "!$AG$11"),"")</f>
        <v/>
      </c>
      <c r="G27" s="166" t="str" cm="1">
        <f t="array" aca="1" ref="G27" ca="1">IF(B27&lt;&gt;"",INDIRECT($AA27 &amp; "!$AB$40"),"")</f>
        <v/>
      </c>
      <c r="H27" s="166" t="str" cm="1">
        <f t="array" aca="1" ref="H27" ca="1">IF(B27&lt;&gt;"",INDIRECT($AA27 &amp; "!$AF$40"),"")</f>
        <v/>
      </c>
      <c r="I27" s="166" t="str" cm="1">
        <f t="array" aca="1" ref="I27" ca="1">IF(B27&lt;&gt;"",INDIRECT($AA27 &amp; "!$AB$41"),"")</f>
        <v/>
      </c>
      <c r="J27" s="166" t="str" cm="1">
        <f t="array" aca="1" ref="J27" ca="1">IF(B27&lt;&gt;"",INDIRECT($AA27 &amp; "!$AF$41"),"")</f>
        <v/>
      </c>
      <c r="K27" s="166" t="str" cm="1">
        <f t="array" aca="1" ref="K27" ca="1">IF(B27&lt;&gt;"",INDIRECT($AA27 &amp; "!$AB$42"),"")</f>
        <v/>
      </c>
      <c r="L27" s="166" t="str" cm="1">
        <f t="array" aca="1" ref="L27" ca="1">IF(B27&lt;&gt;"",INDIRECT($AA27 &amp; "!$AF$42"),"")</f>
        <v/>
      </c>
      <c r="M27" s="166" t="str" cm="1">
        <f t="array" aca="1" ref="M27" ca="1">IF(B27&lt;&gt;"",INDIRECT($AA27 &amp; "!$AB$43"),"")</f>
        <v/>
      </c>
      <c r="N27" s="166" t="str" cm="1">
        <f t="array" aca="1" ref="N27" ca="1">IF(B27&lt;&gt;"",INDIRECT($AA27 &amp; "!$AF$43"),"")</f>
        <v/>
      </c>
      <c r="O27" s="166" t="str" cm="1">
        <f t="array" aca="1" ref="O27" ca="1">IF(B27&lt;&gt;"",INDIRECT($AA27 &amp; "!$AB$44"),"")</f>
        <v/>
      </c>
      <c r="P27" s="166" t="str" cm="1">
        <f t="array" aca="1" ref="P27" ca="1">IF(B27&lt;&gt;"",INDIRECT($AA27 &amp; "!$AF$44"),"")</f>
        <v/>
      </c>
      <c r="Q27" s="166" t="str" cm="1">
        <f t="array" aca="1" ref="Q27" ca="1">IF(B27&lt;&gt;"",INDIRECT($AA27 &amp; "!$AB$45"),"")</f>
        <v/>
      </c>
      <c r="R27" s="166" t="str" cm="1">
        <f t="array" aca="1" ref="R27" ca="1">IF(B27&lt;&gt;"",INDIRECT($AA27 &amp; "!$AF$45"),"")</f>
        <v/>
      </c>
      <c r="S27" s="166" t="str" cm="1">
        <f t="array" aca="1" ref="S27" ca="1">IF(B27&lt;&gt;"",INDIRECT($AA27 &amp; "!$AB$46"),"")</f>
        <v/>
      </c>
      <c r="T27" s="166" t="str" cm="1">
        <f t="array" aca="1" ref="T27" ca="1">IF(B27&lt;&gt;"",INDIRECT($AA27 &amp; "!$AF$46"),"")</f>
        <v/>
      </c>
      <c r="U27" s="166" t="str" cm="1">
        <f t="array" aca="1" ref="U27" ca="1">IF(B27&lt;&gt;"",INDIRECT($AA27 &amp; "!$AB$47"),"")</f>
        <v/>
      </c>
      <c r="V27" s="166" t="str" cm="1">
        <f t="array" aca="1" ref="V27" ca="1">IF(B27&lt;&gt;"",INDIRECT($AA27 &amp; "!$AF$47"),"")</f>
        <v/>
      </c>
      <c r="W27" s="167" t="str" cm="1">
        <f t="array" aca="1" ref="W27" ca="1">IF(B27&lt;&gt;"",INDIRECT($AA27 &amp; "!$AF$54"),"")</f>
        <v/>
      </c>
      <c r="X27" s="111"/>
      <c r="Z27" s="147"/>
      <c r="AA27" s="156" t="str">
        <f t="shared" si="0"/>
        <v/>
      </c>
      <c r="AB27" s="154"/>
      <c r="AC27" s="154"/>
      <c r="AD27" s="154"/>
      <c r="AE27" s="154"/>
      <c r="AF27" s="154"/>
      <c r="AG27" s="155"/>
      <c r="AR27" s="138"/>
    </row>
    <row r="28" spans="1:44" ht="22" customHeight="1" x14ac:dyDescent="0.3">
      <c r="A28" s="110"/>
      <c r="B28" s="164" t="str" cm="1">
        <f t="array" aca="1" ref="B28" ca="1">IF(AA28&lt;&gt;"",INDIRECT($AA28 &amp; "!$D$11"),"")</f>
        <v/>
      </c>
      <c r="C28" s="165" t="str" cm="1">
        <f t="array" aca="1" ref="C28" ca="1">IF(B28&lt;&gt;"",INDIRECT($AA28 &amp; "!$U$12"),"")</f>
        <v/>
      </c>
      <c r="D28" s="165" t="str" cm="1">
        <f t="array" aca="1" ref="D28" ca="1">IF(B28&lt;&gt;"",INDIRECT($AA28 &amp; "!AA$11"),"")</f>
        <v/>
      </c>
      <c r="E28" s="165" t="str" cm="1">
        <f t="array" aca="1" ref="E28" ca="1">IF(B28&lt;&gt;"",INDIRECT($AA28 &amp; "!$AB$11"),"")</f>
        <v/>
      </c>
      <c r="F28" s="166" t="str" cm="1">
        <f t="array" aca="1" ref="F28" ca="1">IF(B28&lt;&gt;"",INDIRECT($AA28 &amp; "!$AG$11"),"")</f>
        <v/>
      </c>
      <c r="G28" s="166" t="str" cm="1">
        <f t="array" aca="1" ref="G28" ca="1">IF(B28&lt;&gt;"",INDIRECT($AA28 &amp; "!$AB$40"),"")</f>
        <v/>
      </c>
      <c r="H28" s="166" t="str" cm="1">
        <f t="array" aca="1" ref="H28" ca="1">IF(B28&lt;&gt;"",INDIRECT($AA28 &amp; "!$AF$40"),"")</f>
        <v/>
      </c>
      <c r="I28" s="166" t="str" cm="1">
        <f t="array" aca="1" ref="I28" ca="1">IF(B28&lt;&gt;"",INDIRECT($AA28 &amp; "!$AB$41"),"")</f>
        <v/>
      </c>
      <c r="J28" s="166" t="str" cm="1">
        <f t="array" aca="1" ref="J28" ca="1">IF(B28&lt;&gt;"",INDIRECT($AA28 &amp; "!$AF$41"),"")</f>
        <v/>
      </c>
      <c r="K28" s="166" t="str" cm="1">
        <f t="array" aca="1" ref="K28" ca="1">IF(B28&lt;&gt;"",INDIRECT($AA28 &amp; "!$AB$42"),"")</f>
        <v/>
      </c>
      <c r="L28" s="166" t="str" cm="1">
        <f t="array" aca="1" ref="L28" ca="1">IF(B28&lt;&gt;"",INDIRECT($AA28 &amp; "!$AF$42"),"")</f>
        <v/>
      </c>
      <c r="M28" s="166" t="str" cm="1">
        <f t="array" aca="1" ref="M28" ca="1">IF(B28&lt;&gt;"",INDIRECT($AA28 &amp; "!$AB$43"),"")</f>
        <v/>
      </c>
      <c r="N28" s="166" t="str" cm="1">
        <f t="array" aca="1" ref="N28" ca="1">IF(B28&lt;&gt;"",INDIRECT($AA28 &amp; "!$AF$43"),"")</f>
        <v/>
      </c>
      <c r="O28" s="166" t="str" cm="1">
        <f t="array" aca="1" ref="O28" ca="1">IF(B28&lt;&gt;"",INDIRECT($AA28 &amp; "!$AB$44"),"")</f>
        <v/>
      </c>
      <c r="P28" s="166" t="str" cm="1">
        <f t="array" aca="1" ref="P28" ca="1">IF(B28&lt;&gt;"",INDIRECT($AA28 &amp; "!$AF$44"),"")</f>
        <v/>
      </c>
      <c r="Q28" s="166" t="str" cm="1">
        <f t="array" aca="1" ref="Q28" ca="1">IF(B28&lt;&gt;"",INDIRECT($AA28 &amp; "!$AB$45"),"")</f>
        <v/>
      </c>
      <c r="R28" s="166" t="str" cm="1">
        <f t="array" aca="1" ref="R28" ca="1">IF(B28&lt;&gt;"",INDIRECT($AA28 &amp; "!$AF$45"),"")</f>
        <v/>
      </c>
      <c r="S28" s="166" t="str" cm="1">
        <f t="array" aca="1" ref="S28" ca="1">IF(B28&lt;&gt;"",INDIRECT($AA28 &amp; "!$AB$46"),"")</f>
        <v/>
      </c>
      <c r="T28" s="166" t="str" cm="1">
        <f t="array" aca="1" ref="T28" ca="1">IF(B28&lt;&gt;"",INDIRECT($AA28 &amp; "!$AF$46"),"")</f>
        <v/>
      </c>
      <c r="U28" s="166" t="str" cm="1">
        <f t="array" aca="1" ref="U28" ca="1">IF(B28&lt;&gt;"",INDIRECT($AA28 &amp; "!$AB$47"),"")</f>
        <v/>
      </c>
      <c r="V28" s="166" t="str" cm="1">
        <f t="array" aca="1" ref="V28" ca="1">IF(B28&lt;&gt;"",INDIRECT($AA28 &amp; "!$AF$47"),"")</f>
        <v/>
      </c>
      <c r="W28" s="167" t="str" cm="1">
        <f t="array" aca="1" ref="W28" ca="1">IF(B28&lt;&gt;"",INDIRECT($AA28 &amp; "!$AF$54"),"")</f>
        <v/>
      </c>
      <c r="X28" s="111"/>
      <c r="Z28" s="147"/>
      <c r="AA28" s="156" t="str">
        <f t="shared" si="0"/>
        <v/>
      </c>
      <c r="AB28" s="154"/>
      <c r="AC28" s="154"/>
      <c r="AD28" s="154"/>
      <c r="AE28" s="154"/>
      <c r="AF28" s="154"/>
      <c r="AG28" s="155"/>
      <c r="AR28" s="138"/>
    </row>
    <row r="29" spans="1:44" ht="22" customHeight="1" x14ac:dyDescent="0.3">
      <c r="A29" s="110"/>
      <c r="B29" s="164" t="str" cm="1">
        <f t="array" aca="1" ref="B29" ca="1">IF(AA29&lt;&gt;"",INDIRECT($AA29 &amp; "!$D$11"),"")</f>
        <v/>
      </c>
      <c r="C29" s="165" t="str" cm="1">
        <f t="array" aca="1" ref="C29" ca="1">IF(B29&lt;&gt;"",INDIRECT($AA29 &amp; "!$U$12"),"")</f>
        <v/>
      </c>
      <c r="D29" s="165" t="str" cm="1">
        <f t="array" aca="1" ref="D29" ca="1">IF(B29&lt;&gt;"",INDIRECT($AA29 &amp; "!AA$11"),"")</f>
        <v/>
      </c>
      <c r="E29" s="165" t="str" cm="1">
        <f t="array" aca="1" ref="E29" ca="1">IF(B29&lt;&gt;"",INDIRECT($AA29 &amp; "!$AB$11"),"")</f>
        <v/>
      </c>
      <c r="F29" s="166" t="str" cm="1">
        <f t="array" aca="1" ref="F29" ca="1">IF(B29&lt;&gt;"",INDIRECT($AA29 &amp; "!$AG$11"),"")</f>
        <v/>
      </c>
      <c r="G29" s="166" t="str" cm="1">
        <f t="array" aca="1" ref="G29" ca="1">IF(B29&lt;&gt;"",INDIRECT($AA29 &amp; "!$AB$40"),"")</f>
        <v/>
      </c>
      <c r="H29" s="166" t="str" cm="1">
        <f t="array" aca="1" ref="H29" ca="1">IF(B29&lt;&gt;"",INDIRECT($AA29 &amp; "!$AF$40"),"")</f>
        <v/>
      </c>
      <c r="I29" s="166" t="str" cm="1">
        <f t="array" aca="1" ref="I29" ca="1">IF(B29&lt;&gt;"",INDIRECT($AA29 &amp; "!$AB$41"),"")</f>
        <v/>
      </c>
      <c r="J29" s="166" t="str" cm="1">
        <f t="array" aca="1" ref="J29" ca="1">IF(B29&lt;&gt;"",INDIRECT($AA29 &amp; "!$AF$41"),"")</f>
        <v/>
      </c>
      <c r="K29" s="166" t="str" cm="1">
        <f t="array" aca="1" ref="K29" ca="1">IF(B29&lt;&gt;"",INDIRECT($AA29 &amp; "!$AB$42"),"")</f>
        <v/>
      </c>
      <c r="L29" s="166" t="str" cm="1">
        <f t="array" aca="1" ref="L29" ca="1">IF(B29&lt;&gt;"",INDIRECT($AA29 &amp; "!$AF$42"),"")</f>
        <v/>
      </c>
      <c r="M29" s="166" t="str" cm="1">
        <f t="array" aca="1" ref="M29" ca="1">IF(B29&lt;&gt;"",INDIRECT($AA29 &amp; "!$AB$43"),"")</f>
        <v/>
      </c>
      <c r="N29" s="166" t="str" cm="1">
        <f t="array" aca="1" ref="N29" ca="1">IF(B29&lt;&gt;"",INDIRECT($AA29 &amp; "!$AF$43"),"")</f>
        <v/>
      </c>
      <c r="O29" s="166" t="str" cm="1">
        <f t="array" aca="1" ref="O29" ca="1">IF(B29&lt;&gt;"",INDIRECT($AA29 &amp; "!$AB$44"),"")</f>
        <v/>
      </c>
      <c r="P29" s="166" t="str" cm="1">
        <f t="array" aca="1" ref="P29" ca="1">IF(B29&lt;&gt;"",INDIRECT($AA29 &amp; "!$AF$44"),"")</f>
        <v/>
      </c>
      <c r="Q29" s="166" t="str" cm="1">
        <f t="array" aca="1" ref="Q29" ca="1">IF(B29&lt;&gt;"",INDIRECT($AA29 &amp; "!$AB$45"),"")</f>
        <v/>
      </c>
      <c r="R29" s="166" t="str" cm="1">
        <f t="array" aca="1" ref="R29" ca="1">IF(B29&lt;&gt;"",INDIRECT($AA29 &amp; "!$AF$45"),"")</f>
        <v/>
      </c>
      <c r="S29" s="166" t="str" cm="1">
        <f t="array" aca="1" ref="S29" ca="1">IF(B29&lt;&gt;"",INDIRECT($AA29 &amp; "!$AB$46"),"")</f>
        <v/>
      </c>
      <c r="T29" s="166" t="str" cm="1">
        <f t="array" aca="1" ref="T29" ca="1">IF(B29&lt;&gt;"",INDIRECT($AA29 &amp; "!$AF$46"),"")</f>
        <v/>
      </c>
      <c r="U29" s="166" t="str" cm="1">
        <f t="array" aca="1" ref="U29" ca="1">IF(B29&lt;&gt;"",INDIRECT($AA29 &amp; "!$AB$47"),"")</f>
        <v/>
      </c>
      <c r="V29" s="166" t="str" cm="1">
        <f t="array" aca="1" ref="V29" ca="1">IF(B29&lt;&gt;"",INDIRECT($AA29 &amp; "!$AF$47"),"")</f>
        <v/>
      </c>
      <c r="W29" s="167" t="str" cm="1">
        <f t="array" aca="1" ref="W29" ca="1">IF(B29&lt;&gt;"",INDIRECT($AA29 &amp; "!$AF$54"),"")</f>
        <v/>
      </c>
      <c r="X29" s="111"/>
      <c r="Z29" s="147"/>
      <c r="AA29" s="156" t="str">
        <f t="shared" si="0"/>
        <v/>
      </c>
      <c r="AB29" s="154"/>
      <c r="AC29" s="154"/>
      <c r="AD29" s="154"/>
      <c r="AE29" s="154"/>
      <c r="AF29" s="154"/>
      <c r="AG29" s="155"/>
      <c r="AR29" s="138"/>
    </row>
    <row r="30" spans="1:44" ht="22" customHeight="1" x14ac:dyDescent="0.3">
      <c r="A30" s="110"/>
      <c r="B30" s="164" t="str" cm="1">
        <f t="array" aca="1" ref="B30" ca="1">IF(AA30&lt;&gt;"",INDIRECT($AA30 &amp; "!$D$11"),"")</f>
        <v/>
      </c>
      <c r="C30" s="165" t="str" cm="1">
        <f t="array" aca="1" ref="C30" ca="1">IF(B30&lt;&gt;"",INDIRECT($AA30 &amp; "!$U$12"),"")</f>
        <v/>
      </c>
      <c r="D30" s="165" t="str" cm="1">
        <f t="array" aca="1" ref="D30" ca="1">IF(B30&lt;&gt;"",INDIRECT($AA30 &amp; "!AA$11"),"")</f>
        <v/>
      </c>
      <c r="E30" s="165" t="str" cm="1">
        <f t="array" aca="1" ref="E30" ca="1">IF(B30&lt;&gt;"",INDIRECT($AA30 &amp; "!$AB$11"),"")</f>
        <v/>
      </c>
      <c r="F30" s="166" t="str" cm="1">
        <f t="array" aca="1" ref="F30" ca="1">IF(B30&lt;&gt;"",INDIRECT($AA30 &amp; "!$AG$11"),"")</f>
        <v/>
      </c>
      <c r="G30" s="166" t="str" cm="1">
        <f t="array" aca="1" ref="G30" ca="1">IF(B30&lt;&gt;"",INDIRECT($AA30 &amp; "!$AB$40"),"")</f>
        <v/>
      </c>
      <c r="H30" s="166" t="str" cm="1">
        <f t="array" aca="1" ref="H30" ca="1">IF(B30&lt;&gt;"",INDIRECT($AA30 &amp; "!$AF$40"),"")</f>
        <v/>
      </c>
      <c r="I30" s="166" t="str" cm="1">
        <f t="array" aca="1" ref="I30" ca="1">IF(B30&lt;&gt;"",INDIRECT($AA30 &amp; "!$AB$41"),"")</f>
        <v/>
      </c>
      <c r="J30" s="166" t="str" cm="1">
        <f t="array" aca="1" ref="J30" ca="1">IF(B30&lt;&gt;"",INDIRECT($AA30 &amp; "!$AF$41"),"")</f>
        <v/>
      </c>
      <c r="K30" s="166" t="str" cm="1">
        <f t="array" aca="1" ref="K30" ca="1">IF(B30&lt;&gt;"",INDIRECT($AA30 &amp; "!$AB$42"),"")</f>
        <v/>
      </c>
      <c r="L30" s="166" t="str" cm="1">
        <f t="array" aca="1" ref="L30" ca="1">IF(B30&lt;&gt;"",INDIRECT($AA30 &amp; "!$AF$42"),"")</f>
        <v/>
      </c>
      <c r="M30" s="166" t="str" cm="1">
        <f t="array" aca="1" ref="M30" ca="1">IF(B30&lt;&gt;"",INDIRECT($AA30 &amp; "!$AB$43"),"")</f>
        <v/>
      </c>
      <c r="N30" s="166" t="str" cm="1">
        <f t="array" aca="1" ref="N30" ca="1">IF(B30&lt;&gt;"",INDIRECT($AA30 &amp; "!$AF$43"),"")</f>
        <v/>
      </c>
      <c r="O30" s="166" t="str" cm="1">
        <f t="array" aca="1" ref="O30" ca="1">IF(B30&lt;&gt;"",INDIRECT($AA30 &amp; "!$AB$44"),"")</f>
        <v/>
      </c>
      <c r="P30" s="166" t="str" cm="1">
        <f t="array" aca="1" ref="P30" ca="1">IF(B30&lt;&gt;"",INDIRECT($AA30 &amp; "!$AF$44"),"")</f>
        <v/>
      </c>
      <c r="Q30" s="166" t="str" cm="1">
        <f t="array" aca="1" ref="Q30" ca="1">IF(B30&lt;&gt;"",INDIRECT($AA30 &amp; "!$AB$45"),"")</f>
        <v/>
      </c>
      <c r="R30" s="166" t="str" cm="1">
        <f t="array" aca="1" ref="R30" ca="1">IF(B30&lt;&gt;"",INDIRECT($AA30 &amp; "!$AF$45"),"")</f>
        <v/>
      </c>
      <c r="S30" s="166" t="str" cm="1">
        <f t="array" aca="1" ref="S30" ca="1">IF(B30&lt;&gt;"",INDIRECT($AA30 &amp; "!$AB$46"),"")</f>
        <v/>
      </c>
      <c r="T30" s="166" t="str" cm="1">
        <f t="array" aca="1" ref="T30" ca="1">IF(B30&lt;&gt;"",INDIRECT($AA30 &amp; "!$AF$46"),"")</f>
        <v/>
      </c>
      <c r="U30" s="166" t="str" cm="1">
        <f t="array" aca="1" ref="U30" ca="1">IF(B30&lt;&gt;"",INDIRECT($AA30 &amp; "!$AB$47"),"")</f>
        <v/>
      </c>
      <c r="V30" s="166" t="str" cm="1">
        <f t="array" aca="1" ref="V30" ca="1">IF(B30&lt;&gt;"",INDIRECT($AA30 &amp; "!$AF$47"),"")</f>
        <v/>
      </c>
      <c r="W30" s="167" t="str" cm="1">
        <f t="array" aca="1" ref="W30" ca="1">IF(B30&lt;&gt;"",INDIRECT($AA30 &amp; "!$AF$54"),"")</f>
        <v/>
      </c>
      <c r="X30" s="111"/>
      <c r="Z30" s="147"/>
      <c r="AA30" s="156" t="str">
        <f t="shared" si="0"/>
        <v/>
      </c>
      <c r="AB30" s="154"/>
      <c r="AC30" s="154"/>
      <c r="AD30" s="154"/>
      <c r="AE30" s="154"/>
      <c r="AF30" s="154"/>
      <c r="AG30" s="155"/>
      <c r="AR30" s="138"/>
    </row>
    <row r="31" spans="1:44" ht="22" customHeight="1" x14ac:dyDescent="0.3">
      <c r="A31" s="110"/>
      <c r="B31" s="164" t="str" cm="1">
        <f t="array" aca="1" ref="B31" ca="1">IF(AA31&lt;&gt;"",INDIRECT($AA31 &amp; "!$D$11"),"")</f>
        <v/>
      </c>
      <c r="C31" s="165" t="str" cm="1">
        <f t="array" aca="1" ref="C31" ca="1">IF(B31&lt;&gt;"",INDIRECT($AA31 &amp; "!$U$12"),"")</f>
        <v/>
      </c>
      <c r="D31" s="165" t="str" cm="1">
        <f t="array" aca="1" ref="D31" ca="1">IF(B31&lt;&gt;"",INDIRECT($AA31 &amp; "!AA$11"),"")</f>
        <v/>
      </c>
      <c r="E31" s="165" t="str" cm="1">
        <f t="array" aca="1" ref="E31" ca="1">IF(B31&lt;&gt;"",INDIRECT($AA31 &amp; "!$AB$11"),"")</f>
        <v/>
      </c>
      <c r="F31" s="166" t="str" cm="1">
        <f t="array" aca="1" ref="F31" ca="1">IF(B31&lt;&gt;"",INDIRECT($AA31 &amp; "!$AG$11"),"")</f>
        <v/>
      </c>
      <c r="G31" s="166" t="str" cm="1">
        <f t="array" aca="1" ref="G31" ca="1">IF(B31&lt;&gt;"",INDIRECT($AA31 &amp; "!$AB$40"),"")</f>
        <v/>
      </c>
      <c r="H31" s="166" t="str" cm="1">
        <f t="array" aca="1" ref="H31" ca="1">IF(B31&lt;&gt;"",INDIRECT($AA31 &amp; "!$AF$40"),"")</f>
        <v/>
      </c>
      <c r="I31" s="166" t="str" cm="1">
        <f t="array" aca="1" ref="I31" ca="1">IF(B31&lt;&gt;"",INDIRECT($AA31 &amp; "!$AB$41"),"")</f>
        <v/>
      </c>
      <c r="J31" s="166" t="str" cm="1">
        <f t="array" aca="1" ref="J31" ca="1">IF(B31&lt;&gt;"",INDIRECT($AA31 &amp; "!$AF$41"),"")</f>
        <v/>
      </c>
      <c r="K31" s="166" t="str" cm="1">
        <f t="array" aca="1" ref="K31" ca="1">IF(B31&lt;&gt;"",INDIRECT($AA31 &amp; "!$AB$42"),"")</f>
        <v/>
      </c>
      <c r="L31" s="166" t="str" cm="1">
        <f t="array" aca="1" ref="L31" ca="1">IF(B31&lt;&gt;"",INDIRECT($AA31 &amp; "!$AF$42"),"")</f>
        <v/>
      </c>
      <c r="M31" s="166" t="str" cm="1">
        <f t="array" aca="1" ref="M31" ca="1">IF(B31&lt;&gt;"",INDIRECT($AA31 &amp; "!$AB$43"),"")</f>
        <v/>
      </c>
      <c r="N31" s="166" t="str" cm="1">
        <f t="array" aca="1" ref="N31" ca="1">IF(B31&lt;&gt;"",INDIRECT($AA31 &amp; "!$AF$43"),"")</f>
        <v/>
      </c>
      <c r="O31" s="166" t="str" cm="1">
        <f t="array" aca="1" ref="O31" ca="1">IF(B31&lt;&gt;"",INDIRECT($AA31 &amp; "!$AB$44"),"")</f>
        <v/>
      </c>
      <c r="P31" s="166" t="str" cm="1">
        <f t="array" aca="1" ref="P31" ca="1">IF(B31&lt;&gt;"",INDIRECT($AA31 &amp; "!$AF$44"),"")</f>
        <v/>
      </c>
      <c r="Q31" s="166" t="str" cm="1">
        <f t="array" aca="1" ref="Q31" ca="1">IF(B31&lt;&gt;"",INDIRECT($AA31 &amp; "!$AB$45"),"")</f>
        <v/>
      </c>
      <c r="R31" s="166" t="str" cm="1">
        <f t="array" aca="1" ref="R31" ca="1">IF(B31&lt;&gt;"",INDIRECT($AA31 &amp; "!$AF$45"),"")</f>
        <v/>
      </c>
      <c r="S31" s="166" t="str" cm="1">
        <f t="array" aca="1" ref="S31" ca="1">IF(B31&lt;&gt;"",INDIRECT($AA31 &amp; "!$AB$46"),"")</f>
        <v/>
      </c>
      <c r="T31" s="166" t="str" cm="1">
        <f t="array" aca="1" ref="T31" ca="1">IF(B31&lt;&gt;"",INDIRECT($AA31 &amp; "!$AF$46"),"")</f>
        <v/>
      </c>
      <c r="U31" s="166" t="str" cm="1">
        <f t="array" aca="1" ref="U31" ca="1">IF(B31&lt;&gt;"",INDIRECT($AA31 &amp; "!$AB$47"),"")</f>
        <v/>
      </c>
      <c r="V31" s="166" t="str" cm="1">
        <f t="array" aca="1" ref="V31" ca="1">IF(B31&lt;&gt;"",INDIRECT($AA31 &amp; "!$AF$47"),"")</f>
        <v/>
      </c>
      <c r="W31" s="167" t="str" cm="1">
        <f t="array" aca="1" ref="W31" ca="1">IF(B31&lt;&gt;"",INDIRECT($AA31 &amp; "!$AF$54"),"")</f>
        <v/>
      </c>
      <c r="X31" s="111"/>
      <c r="Z31" s="147"/>
      <c r="AA31" s="156" t="str">
        <f t="shared" si="0"/>
        <v/>
      </c>
      <c r="AB31" s="154"/>
      <c r="AC31" s="154"/>
      <c r="AD31" s="154"/>
      <c r="AE31" s="154"/>
      <c r="AF31" s="154"/>
      <c r="AG31" s="155"/>
      <c r="AR31" s="138"/>
    </row>
    <row r="32" spans="1:44" ht="22" customHeight="1" x14ac:dyDescent="0.3">
      <c r="A32" s="110"/>
      <c r="B32" s="164" t="str" cm="1">
        <f t="array" aca="1" ref="B32" ca="1">IF(AA32&lt;&gt;"",INDIRECT($AA32 &amp; "!$D$11"),"")</f>
        <v/>
      </c>
      <c r="C32" s="165" t="str" cm="1">
        <f t="array" aca="1" ref="C32" ca="1">IF(B32&lt;&gt;"",INDIRECT($AA32 &amp; "!$U$12"),"")</f>
        <v/>
      </c>
      <c r="D32" s="165" t="str" cm="1">
        <f t="array" aca="1" ref="D32" ca="1">IF(B32&lt;&gt;"",INDIRECT($AA32 &amp; "!AA$11"),"")</f>
        <v/>
      </c>
      <c r="E32" s="165" t="str" cm="1">
        <f t="array" aca="1" ref="E32" ca="1">IF(B32&lt;&gt;"",INDIRECT($AA32 &amp; "!$AB$11"),"")</f>
        <v/>
      </c>
      <c r="F32" s="166" t="str" cm="1">
        <f t="array" aca="1" ref="F32" ca="1">IF(B32&lt;&gt;"",INDIRECT($AA32 &amp; "!$AG$11"),"")</f>
        <v/>
      </c>
      <c r="G32" s="166" t="str" cm="1">
        <f t="array" aca="1" ref="G32" ca="1">IF(B32&lt;&gt;"",INDIRECT($AA32 &amp; "!$AB$40"),"")</f>
        <v/>
      </c>
      <c r="H32" s="166" t="str" cm="1">
        <f t="array" aca="1" ref="H32" ca="1">IF(B32&lt;&gt;"",INDIRECT($AA32 &amp; "!$AF$40"),"")</f>
        <v/>
      </c>
      <c r="I32" s="166" t="str" cm="1">
        <f t="array" aca="1" ref="I32" ca="1">IF(B32&lt;&gt;"",INDIRECT($AA32 &amp; "!$AB$41"),"")</f>
        <v/>
      </c>
      <c r="J32" s="166" t="str" cm="1">
        <f t="array" aca="1" ref="J32" ca="1">IF(B32&lt;&gt;"",INDIRECT($AA32 &amp; "!$AF$41"),"")</f>
        <v/>
      </c>
      <c r="K32" s="166" t="str" cm="1">
        <f t="array" aca="1" ref="K32" ca="1">IF(B32&lt;&gt;"",INDIRECT($AA32 &amp; "!$AB$42"),"")</f>
        <v/>
      </c>
      <c r="L32" s="166" t="str" cm="1">
        <f t="array" aca="1" ref="L32" ca="1">IF(B32&lt;&gt;"",INDIRECT($AA32 &amp; "!$AF$42"),"")</f>
        <v/>
      </c>
      <c r="M32" s="166" t="str" cm="1">
        <f t="array" aca="1" ref="M32" ca="1">IF(B32&lt;&gt;"",INDIRECT($AA32 &amp; "!$AB$43"),"")</f>
        <v/>
      </c>
      <c r="N32" s="166" t="str" cm="1">
        <f t="array" aca="1" ref="N32" ca="1">IF(B32&lt;&gt;"",INDIRECT($AA32 &amp; "!$AF$43"),"")</f>
        <v/>
      </c>
      <c r="O32" s="166" t="str" cm="1">
        <f t="array" aca="1" ref="O32" ca="1">IF(B32&lt;&gt;"",INDIRECT($AA32 &amp; "!$AB$44"),"")</f>
        <v/>
      </c>
      <c r="P32" s="166" t="str" cm="1">
        <f t="array" aca="1" ref="P32" ca="1">IF(B32&lt;&gt;"",INDIRECT($AA32 &amp; "!$AF$44"),"")</f>
        <v/>
      </c>
      <c r="Q32" s="166" t="str" cm="1">
        <f t="array" aca="1" ref="Q32" ca="1">IF(B32&lt;&gt;"",INDIRECT($AA32 &amp; "!$AB$45"),"")</f>
        <v/>
      </c>
      <c r="R32" s="166" t="str" cm="1">
        <f t="array" aca="1" ref="R32" ca="1">IF(B32&lt;&gt;"",INDIRECT($AA32 &amp; "!$AF$45"),"")</f>
        <v/>
      </c>
      <c r="S32" s="166" t="str" cm="1">
        <f t="array" aca="1" ref="S32" ca="1">IF(B32&lt;&gt;"",INDIRECT($AA32 &amp; "!$AB$46"),"")</f>
        <v/>
      </c>
      <c r="T32" s="166" t="str" cm="1">
        <f t="array" aca="1" ref="T32" ca="1">IF(B32&lt;&gt;"",INDIRECT($AA32 &amp; "!$AF$46"),"")</f>
        <v/>
      </c>
      <c r="U32" s="166" t="str" cm="1">
        <f t="array" aca="1" ref="U32" ca="1">IF(B32&lt;&gt;"",INDIRECT($AA32 &amp; "!$AB$47"),"")</f>
        <v/>
      </c>
      <c r="V32" s="166" t="str" cm="1">
        <f t="array" aca="1" ref="V32" ca="1">IF(B32&lt;&gt;"",INDIRECT($AA32 &amp; "!$AF$47"),"")</f>
        <v/>
      </c>
      <c r="W32" s="167" t="str" cm="1">
        <f t="array" aca="1" ref="W32" ca="1">IF(B32&lt;&gt;"",INDIRECT($AA32 &amp; "!$AF$54"),"")</f>
        <v/>
      </c>
      <c r="X32" s="111"/>
      <c r="Z32" s="147"/>
      <c r="AA32" s="156" t="str">
        <f t="shared" si="0"/>
        <v/>
      </c>
      <c r="AB32" s="154"/>
      <c r="AC32" s="154"/>
      <c r="AD32" s="154"/>
      <c r="AE32" s="154"/>
      <c r="AF32" s="154"/>
      <c r="AG32" s="155"/>
      <c r="AR32" s="138"/>
    </row>
    <row r="33" spans="1:97" ht="22" customHeight="1" x14ac:dyDescent="0.3">
      <c r="A33" s="110"/>
      <c r="B33" s="164" t="str" cm="1">
        <f t="array" aca="1" ref="B33" ca="1">IF(AA33&lt;&gt;"",INDIRECT($AA33 &amp; "!$D$11"),"")</f>
        <v/>
      </c>
      <c r="C33" s="165" t="str" cm="1">
        <f t="array" aca="1" ref="C33" ca="1">IF(B33&lt;&gt;"",INDIRECT($AA33 &amp; "!$U$12"),"")</f>
        <v/>
      </c>
      <c r="D33" s="165" t="str" cm="1">
        <f t="array" aca="1" ref="D33" ca="1">IF(B33&lt;&gt;"",INDIRECT($AA33 &amp; "!AA$11"),"")</f>
        <v/>
      </c>
      <c r="E33" s="165" t="str" cm="1">
        <f t="array" aca="1" ref="E33" ca="1">IF(B33&lt;&gt;"",INDIRECT($AA33 &amp; "!$AB$11"),"")</f>
        <v/>
      </c>
      <c r="F33" s="166" t="str" cm="1">
        <f t="array" aca="1" ref="F33" ca="1">IF(B33&lt;&gt;"",INDIRECT($AA33 &amp; "!$AG$11"),"")</f>
        <v/>
      </c>
      <c r="G33" s="166" t="str" cm="1">
        <f t="array" aca="1" ref="G33" ca="1">IF(B33&lt;&gt;"",INDIRECT($AA33 &amp; "!$AB$40"),"")</f>
        <v/>
      </c>
      <c r="H33" s="166" t="str" cm="1">
        <f t="array" aca="1" ref="H33" ca="1">IF(B33&lt;&gt;"",INDIRECT($AA33 &amp; "!$AF$40"),"")</f>
        <v/>
      </c>
      <c r="I33" s="166" t="str" cm="1">
        <f t="array" aca="1" ref="I33" ca="1">IF(B33&lt;&gt;"",INDIRECT($AA33 &amp; "!$AB$41"),"")</f>
        <v/>
      </c>
      <c r="J33" s="166" t="str" cm="1">
        <f t="array" aca="1" ref="J33" ca="1">IF(B33&lt;&gt;"",INDIRECT($AA33 &amp; "!$AF$41"),"")</f>
        <v/>
      </c>
      <c r="K33" s="166" t="str" cm="1">
        <f t="array" aca="1" ref="K33" ca="1">IF(B33&lt;&gt;"",INDIRECT($AA33 &amp; "!$AB$42"),"")</f>
        <v/>
      </c>
      <c r="L33" s="166" t="str" cm="1">
        <f t="array" aca="1" ref="L33" ca="1">IF(B33&lt;&gt;"",INDIRECT($AA33 &amp; "!$AF$42"),"")</f>
        <v/>
      </c>
      <c r="M33" s="166" t="str" cm="1">
        <f t="array" aca="1" ref="M33" ca="1">IF(B33&lt;&gt;"",INDIRECT($AA33 &amp; "!$AB$43"),"")</f>
        <v/>
      </c>
      <c r="N33" s="166" t="str" cm="1">
        <f t="array" aca="1" ref="N33" ca="1">IF(B33&lt;&gt;"",INDIRECT($AA33 &amp; "!$AF$43"),"")</f>
        <v/>
      </c>
      <c r="O33" s="166" t="str" cm="1">
        <f t="array" aca="1" ref="O33" ca="1">IF(B33&lt;&gt;"",INDIRECT($AA33 &amp; "!$AB$44"),"")</f>
        <v/>
      </c>
      <c r="P33" s="166" t="str" cm="1">
        <f t="array" aca="1" ref="P33" ca="1">IF(B33&lt;&gt;"",INDIRECT($AA33 &amp; "!$AF$44"),"")</f>
        <v/>
      </c>
      <c r="Q33" s="166" t="str" cm="1">
        <f t="array" aca="1" ref="Q33" ca="1">IF(B33&lt;&gt;"",INDIRECT($AA33 &amp; "!$AB$45"),"")</f>
        <v/>
      </c>
      <c r="R33" s="166" t="str" cm="1">
        <f t="array" aca="1" ref="R33" ca="1">IF(B33&lt;&gt;"",INDIRECT($AA33 &amp; "!$AF$45"),"")</f>
        <v/>
      </c>
      <c r="S33" s="166" t="str" cm="1">
        <f t="array" aca="1" ref="S33" ca="1">IF(B33&lt;&gt;"",INDIRECT($AA33 &amp; "!$AB$46"),"")</f>
        <v/>
      </c>
      <c r="T33" s="166" t="str" cm="1">
        <f t="array" aca="1" ref="T33" ca="1">IF(B33&lt;&gt;"",INDIRECT($AA33 &amp; "!$AF$46"),"")</f>
        <v/>
      </c>
      <c r="U33" s="166" t="str" cm="1">
        <f t="array" aca="1" ref="U33" ca="1">IF(B33&lt;&gt;"",INDIRECT($AA33 &amp; "!$AB$47"),"")</f>
        <v/>
      </c>
      <c r="V33" s="166" t="str" cm="1">
        <f t="array" aca="1" ref="V33" ca="1">IF(B33&lt;&gt;"",INDIRECT($AA33 &amp; "!$AF$47"),"")</f>
        <v/>
      </c>
      <c r="W33" s="167" t="str" cm="1">
        <f t="array" aca="1" ref="W33" ca="1">IF(B33&lt;&gt;"",INDIRECT($AA33 &amp; "!$AF$54"),"")</f>
        <v/>
      </c>
      <c r="X33" s="111"/>
      <c r="Z33" s="147"/>
      <c r="AA33" s="156" t="str">
        <f t="shared" si="0"/>
        <v/>
      </c>
      <c r="AB33" s="154"/>
      <c r="AC33" s="154"/>
      <c r="AD33" s="154"/>
      <c r="AE33" s="154"/>
      <c r="AF33" s="154"/>
      <c r="AG33" s="155"/>
      <c r="AR33" s="138"/>
    </row>
    <row r="34" spans="1:97" ht="22" customHeight="1" x14ac:dyDescent="0.3">
      <c r="A34" s="110"/>
      <c r="B34" s="164" t="str" cm="1">
        <f t="array" aca="1" ref="B34" ca="1">IF(AA34&lt;&gt;"",INDIRECT($AA34 &amp; "!$D$11"),"")</f>
        <v/>
      </c>
      <c r="C34" s="165" t="str" cm="1">
        <f t="array" aca="1" ref="C34" ca="1">IF(B34&lt;&gt;"",INDIRECT($AA34 &amp; "!$U$12"),"")</f>
        <v/>
      </c>
      <c r="D34" s="165" t="str" cm="1">
        <f t="array" aca="1" ref="D34" ca="1">IF(B34&lt;&gt;"",INDIRECT($AA34 &amp; "!AA$11"),"")</f>
        <v/>
      </c>
      <c r="E34" s="165" t="str" cm="1">
        <f t="array" aca="1" ref="E34" ca="1">IF(B34&lt;&gt;"",INDIRECT($AA34 &amp; "!$AB$11"),"")</f>
        <v/>
      </c>
      <c r="F34" s="166" t="str" cm="1">
        <f t="array" aca="1" ref="F34" ca="1">IF(B34&lt;&gt;"",INDIRECT($AA34 &amp; "!$AG$11"),"")</f>
        <v/>
      </c>
      <c r="G34" s="166" t="str" cm="1">
        <f t="array" aca="1" ref="G34" ca="1">IF(B34&lt;&gt;"",INDIRECT($AA34 &amp; "!$AB$40"),"")</f>
        <v/>
      </c>
      <c r="H34" s="166" t="str" cm="1">
        <f t="array" aca="1" ref="H34" ca="1">IF(B34&lt;&gt;"",INDIRECT($AA34 &amp; "!$AF$40"),"")</f>
        <v/>
      </c>
      <c r="I34" s="166" t="str" cm="1">
        <f t="array" aca="1" ref="I34" ca="1">IF(B34&lt;&gt;"",INDIRECT($AA34 &amp; "!$AB$41"),"")</f>
        <v/>
      </c>
      <c r="J34" s="166" t="str" cm="1">
        <f t="array" aca="1" ref="J34" ca="1">IF(B34&lt;&gt;"",INDIRECT($AA34 &amp; "!$AF$41"),"")</f>
        <v/>
      </c>
      <c r="K34" s="166" t="str" cm="1">
        <f t="array" aca="1" ref="K34" ca="1">IF(B34&lt;&gt;"",INDIRECT($AA34 &amp; "!$AB$42"),"")</f>
        <v/>
      </c>
      <c r="L34" s="166" t="str" cm="1">
        <f t="array" aca="1" ref="L34" ca="1">IF(B34&lt;&gt;"",INDIRECT($AA34 &amp; "!$AF$42"),"")</f>
        <v/>
      </c>
      <c r="M34" s="166" t="str" cm="1">
        <f t="array" aca="1" ref="M34" ca="1">IF(B34&lt;&gt;"",INDIRECT($AA34 &amp; "!$AB$43"),"")</f>
        <v/>
      </c>
      <c r="N34" s="166" t="str" cm="1">
        <f t="array" aca="1" ref="N34" ca="1">IF(B34&lt;&gt;"",INDIRECT($AA34 &amp; "!$AF$43"),"")</f>
        <v/>
      </c>
      <c r="O34" s="166" t="str" cm="1">
        <f t="array" aca="1" ref="O34" ca="1">IF(B34&lt;&gt;"",INDIRECT($AA34 &amp; "!$AB$44"),"")</f>
        <v/>
      </c>
      <c r="P34" s="166" t="str" cm="1">
        <f t="array" aca="1" ref="P34" ca="1">IF(B34&lt;&gt;"",INDIRECT($AA34 &amp; "!$AF$44"),"")</f>
        <v/>
      </c>
      <c r="Q34" s="166" t="str" cm="1">
        <f t="array" aca="1" ref="Q34" ca="1">IF(B34&lt;&gt;"",INDIRECT($AA34 &amp; "!$AB$45"),"")</f>
        <v/>
      </c>
      <c r="R34" s="166" t="str" cm="1">
        <f t="array" aca="1" ref="R34" ca="1">IF(B34&lt;&gt;"",INDIRECT($AA34 &amp; "!$AF$45"),"")</f>
        <v/>
      </c>
      <c r="S34" s="166" t="str" cm="1">
        <f t="array" aca="1" ref="S34" ca="1">IF(B34&lt;&gt;"",INDIRECT($AA34 &amp; "!$AB$46"),"")</f>
        <v/>
      </c>
      <c r="T34" s="166" t="str" cm="1">
        <f t="array" aca="1" ref="T34" ca="1">IF(B34&lt;&gt;"",INDIRECT($AA34 &amp; "!$AF$46"),"")</f>
        <v/>
      </c>
      <c r="U34" s="166" t="str" cm="1">
        <f t="array" aca="1" ref="U34" ca="1">IF(B34&lt;&gt;"",INDIRECT($AA34 &amp; "!$AB$47"),"")</f>
        <v/>
      </c>
      <c r="V34" s="166" t="str" cm="1">
        <f t="array" aca="1" ref="V34" ca="1">IF(B34&lt;&gt;"",INDIRECT($AA34 &amp; "!$AF$47"),"")</f>
        <v/>
      </c>
      <c r="W34" s="167" t="str" cm="1">
        <f t="array" aca="1" ref="W34" ca="1">IF(B34&lt;&gt;"",INDIRECT($AA34 &amp; "!$AF$54"),"")</f>
        <v/>
      </c>
      <c r="X34" s="111"/>
      <c r="Z34" s="147"/>
      <c r="AA34" s="156" t="str">
        <f t="shared" si="0"/>
        <v/>
      </c>
      <c r="AB34" s="154"/>
      <c r="AC34" s="154"/>
      <c r="AD34" s="154"/>
      <c r="AE34" s="154"/>
      <c r="AF34" s="154"/>
      <c r="AG34" s="155"/>
      <c r="AR34" s="138"/>
    </row>
    <row r="35" spans="1:97" s="82" customFormat="1" ht="9.65" customHeight="1" x14ac:dyDescent="0.35">
      <c r="A35" s="79"/>
      <c r="B35" s="114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115"/>
      <c r="X35" s="81"/>
      <c r="Y35" s="80"/>
      <c r="Z35" s="148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149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80"/>
      <c r="CA35" s="80"/>
      <c r="CB35" s="80"/>
      <c r="CC35" s="80"/>
      <c r="CD35" s="80"/>
      <c r="CE35" s="80"/>
      <c r="CF35" s="80"/>
      <c r="CG35" s="80"/>
      <c r="CH35" s="80"/>
      <c r="CI35" s="80"/>
      <c r="CJ35" s="80"/>
      <c r="CK35" s="80"/>
      <c r="CL35" s="80"/>
      <c r="CM35" s="80"/>
      <c r="CN35" s="80"/>
      <c r="CO35" s="80"/>
      <c r="CP35" s="80"/>
      <c r="CQ35" s="80"/>
      <c r="CR35" s="80"/>
      <c r="CS35" s="80"/>
    </row>
    <row r="36" spans="1:97" ht="20.149999999999999" customHeight="1" x14ac:dyDescent="0.3">
      <c r="A36" s="110"/>
      <c r="B36" s="472"/>
      <c r="C36" s="473"/>
      <c r="D36" s="473"/>
      <c r="E36" s="415" t="str">
        <f>DCP_Test_Report_Template!E56</f>
        <v>Contractor</v>
      </c>
      <c r="F36" s="415"/>
      <c r="G36" s="415"/>
      <c r="H36" s="415"/>
      <c r="I36" s="415"/>
      <c r="J36" s="415"/>
      <c r="K36" s="415"/>
      <c r="L36" s="415"/>
      <c r="M36" s="415"/>
      <c r="N36" s="419" t="str">
        <f>DCP_Test_Report_Template!K56</f>
        <v>Consultant</v>
      </c>
      <c r="O36" s="419"/>
      <c r="P36" s="419"/>
      <c r="Q36" s="419"/>
      <c r="R36" s="419"/>
      <c r="S36" s="419"/>
      <c r="T36" s="419"/>
      <c r="U36" s="419"/>
      <c r="V36" s="419"/>
      <c r="W36" s="420"/>
      <c r="X36" s="111"/>
      <c r="Z36" s="147"/>
      <c r="AR36" s="138"/>
    </row>
    <row r="37" spans="1:97" ht="20.149999999999999" customHeight="1" x14ac:dyDescent="0.3">
      <c r="A37" s="110"/>
      <c r="B37" s="474"/>
      <c r="C37" s="475"/>
      <c r="D37" s="475"/>
      <c r="E37" s="421" t="str">
        <f>DCP_Test_Report_Template!E57</f>
        <v>Tested By</v>
      </c>
      <c r="F37" s="419"/>
      <c r="G37" s="419"/>
      <c r="H37" s="420"/>
      <c r="I37" s="421" t="str">
        <f>DCP_Test_Report_Template!H57</f>
        <v>Checked By</v>
      </c>
      <c r="J37" s="419"/>
      <c r="K37" s="419"/>
      <c r="L37" s="419"/>
      <c r="M37" s="420"/>
      <c r="N37" s="421" t="str">
        <f>DCP_Test_Report_Template!K57</f>
        <v>Checked By / Witnessed By</v>
      </c>
      <c r="O37" s="419"/>
      <c r="P37" s="419"/>
      <c r="Q37" s="419"/>
      <c r="R37" s="419"/>
      <c r="S37" s="421" t="str">
        <f>DCP_Test_Report_Template!N57</f>
        <v>Reviewed By</v>
      </c>
      <c r="T37" s="419"/>
      <c r="U37" s="419"/>
      <c r="V37" s="419"/>
      <c r="W37" s="420"/>
      <c r="X37" s="111"/>
      <c r="Z37" s="147"/>
      <c r="AR37" s="138"/>
    </row>
    <row r="38" spans="1:97" ht="30" customHeight="1" x14ac:dyDescent="0.3">
      <c r="A38" s="110"/>
      <c r="B38" s="416" t="str">
        <f>DCP_Test_Report_Template!B58</f>
        <v xml:space="preserve">Name </v>
      </c>
      <c r="C38" s="416"/>
      <c r="D38" s="416"/>
      <c r="E38" s="414" t="str">
        <f>DCP_Test_Report_Template!E58</f>
        <v>Enetr Name</v>
      </c>
      <c r="F38" s="414"/>
      <c r="G38" s="414"/>
      <c r="H38" s="414"/>
      <c r="I38" s="414" t="str">
        <f>DCP_Test_Report_Template!H58</f>
        <v>Enter Name</v>
      </c>
      <c r="J38" s="414"/>
      <c r="K38" s="414"/>
      <c r="L38" s="414"/>
      <c r="M38" s="414"/>
      <c r="N38" s="414" t="str">
        <f>DCP_Test_Report_Template!K58</f>
        <v>Enter Name</v>
      </c>
      <c r="O38" s="414"/>
      <c r="P38" s="414"/>
      <c r="Q38" s="414"/>
      <c r="R38" s="414"/>
      <c r="S38" s="414" t="str">
        <f>DCP_Test_Report_Template!N58</f>
        <v>Enetr Name</v>
      </c>
      <c r="T38" s="414"/>
      <c r="U38" s="414"/>
      <c r="V38" s="414"/>
      <c r="W38" s="414"/>
      <c r="X38" s="111"/>
      <c r="Z38" s="147"/>
      <c r="AR38" s="138"/>
    </row>
    <row r="39" spans="1:97" ht="30" customHeight="1" x14ac:dyDescent="0.3">
      <c r="A39" s="110"/>
      <c r="B39" s="418" t="str">
        <f>DCP_Test_Report_Template!B59</f>
        <v xml:space="preserve">Designation </v>
      </c>
      <c r="C39" s="418"/>
      <c r="D39" s="418"/>
      <c r="E39" s="414" t="str">
        <f>DCP_Test_Report_Template!E59</f>
        <v>MT</v>
      </c>
      <c r="F39" s="414"/>
      <c r="G39" s="414"/>
      <c r="H39" s="414"/>
      <c r="I39" s="414" t="str">
        <f>DCP_Test_Report_Template!H59</f>
        <v>ME</v>
      </c>
      <c r="J39" s="414"/>
      <c r="K39" s="414"/>
      <c r="L39" s="414"/>
      <c r="M39" s="414"/>
      <c r="N39" s="414" t="str">
        <f>DCP_Test_Report_Template!K59</f>
        <v>MT</v>
      </c>
      <c r="O39" s="414"/>
      <c r="P39" s="414"/>
      <c r="Q39" s="414"/>
      <c r="R39" s="414"/>
      <c r="S39" s="414" t="str">
        <f>DCP_Test_Report_Template!N59</f>
        <v>ME</v>
      </c>
      <c r="T39" s="414"/>
      <c r="U39" s="414"/>
      <c r="V39" s="414"/>
      <c r="W39" s="414"/>
      <c r="X39" s="111"/>
      <c r="Z39" s="147"/>
      <c r="AR39" s="138"/>
    </row>
    <row r="40" spans="1:97" ht="30" customHeight="1" x14ac:dyDescent="0.35">
      <c r="A40" s="110"/>
      <c r="B40" s="418" t="str">
        <f>DCP_Test_Report_Template!B60</f>
        <v xml:space="preserve">Signature </v>
      </c>
      <c r="C40" s="418"/>
      <c r="D40" s="418"/>
      <c r="E40" s="458"/>
      <c r="F40" s="458"/>
      <c r="G40" s="458"/>
      <c r="H40" s="458"/>
      <c r="I40" s="458"/>
      <c r="J40" s="458"/>
      <c r="K40" s="458"/>
      <c r="L40" s="458"/>
      <c r="M40" s="458"/>
      <c r="N40" s="458"/>
      <c r="O40" s="458"/>
      <c r="P40" s="458"/>
      <c r="Q40" s="458"/>
      <c r="R40" s="458"/>
      <c r="S40" s="458"/>
      <c r="T40" s="458"/>
      <c r="U40" s="458"/>
      <c r="V40" s="458"/>
      <c r="W40" s="458"/>
      <c r="X40" s="111"/>
      <c r="Z40" s="147"/>
      <c r="AR40" s="138"/>
    </row>
    <row r="41" spans="1:97" s="83" customFormat="1" ht="30" customHeight="1" thickBot="1" x14ac:dyDescent="0.4">
      <c r="A41" s="110"/>
      <c r="B41" s="418" t="str">
        <f>DCP_Test_Report_Template!B61</f>
        <v xml:space="preserve">Date </v>
      </c>
      <c r="C41" s="418"/>
      <c r="D41" s="418"/>
      <c r="E41" s="458"/>
      <c r="F41" s="458"/>
      <c r="G41" s="458"/>
      <c r="H41" s="458"/>
      <c r="I41" s="458"/>
      <c r="J41" s="458"/>
      <c r="K41" s="458"/>
      <c r="L41" s="458"/>
      <c r="M41" s="458"/>
      <c r="N41" s="458"/>
      <c r="O41" s="458"/>
      <c r="P41" s="458"/>
      <c r="Q41" s="458"/>
      <c r="R41" s="458"/>
      <c r="S41" s="458"/>
      <c r="T41" s="458"/>
      <c r="U41" s="458"/>
      <c r="V41" s="458"/>
      <c r="W41" s="458"/>
      <c r="X41" s="111"/>
      <c r="Y41" s="63"/>
      <c r="Z41" s="150"/>
      <c r="AA41" s="151"/>
      <c r="AB41" s="151"/>
      <c r="AC41" s="151"/>
      <c r="AD41" s="151"/>
      <c r="AE41" s="151"/>
      <c r="AF41" s="151"/>
      <c r="AG41" s="151"/>
      <c r="AH41" s="151"/>
      <c r="AI41" s="151"/>
      <c r="AJ41" s="151"/>
      <c r="AK41" s="151"/>
      <c r="AL41" s="151"/>
      <c r="AM41" s="151"/>
      <c r="AN41" s="151"/>
      <c r="AO41" s="151"/>
      <c r="AP41" s="151"/>
      <c r="AQ41" s="151"/>
      <c r="AR41" s="152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3"/>
      <c r="CD41" s="63"/>
      <c r="CE41" s="63"/>
      <c r="CF41" s="63"/>
      <c r="CG41" s="63"/>
      <c r="CH41" s="63"/>
      <c r="CI41" s="63"/>
      <c r="CJ41" s="63"/>
      <c r="CK41" s="63"/>
      <c r="CL41" s="63"/>
      <c r="CM41" s="63"/>
      <c r="CN41" s="63"/>
      <c r="CO41" s="63"/>
      <c r="CP41" s="63"/>
      <c r="CQ41" s="63"/>
      <c r="CR41" s="63"/>
      <c r="CS41" s="63"/>
    </row>
    <row r="42" spans="1:97" ht="13.75" customHeight="1" thickTop="1" thickBot="1" x14ac:dyDescent="0.4">
      <c r="A42" s="121"/>
      <c r="B42" s="83"/>
      <c r="C42" s="129"/>
      <c r="D42" s="129"/>
      <c r="E42" s="130"/>
      <c r="F42" s="130"/>
      <c r="G42" s="130"/>
      <c r="H42" s="130"/>
      <c r="I42" s="130"/>
      <c r="J42" s="130"/>
      <c r="K42" s="130"/>
      <c r="L42" s="130"/>
      <c r="M42" s="130"/>
      <c r="N42" s="130"/>
      <c r="O42" s="130"/>
      <c r="P42" s="130"/>
      <c r="Q42" s="130"/>
      <c r="R42" s="130"/>
      <c r="S42" s="130"/>
      <c r="T42" s="130"/>
      <c r="U42" s="130"/>
      <c r="V42" s="130"/>
      <c r="W42" s="131"/>
      <c r="X42" s="132"/>
    </row>
    <row r="43" spans="1:97" ht="13.75" customHeight="1" x14ac:dyDescent="0.35">
      <c r="A43" s="116"/>
      <c r="B43" s="62"/>
      <c r="C43" s="117"/>
      <c r="D43" s="117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9"/>
      <c r="X43" s="120"/>
    </row>
    <row r="44" spans="1:97" ht="25" customHeight="1" thickBot="1" x14ac:dyDescent="0.35">
      <c r="A44" s="110"/>
      <c r="B44" s="445" t="str">
        <f>B2</f>
        <v>Project Name num Project Name</v>
      </c>
      <c r="C44" s="446"/>
      <c r="D44" s="446"/>
      <c r="E44" s="446"/>
      <c r="F44" s="446"/>
      <c r="G44" s="446"/>
      <c r="H44" s="446"/>
      <c r="I44" s="446"/>
      <c r="J44" s="446"/>
      <c r="K44" s="446"/>
      <c r="L44" s="446"/>
      <c r="M44" s="446"/>
      <c r="N44" s="446"/>
      <c r="O44" s="446"/>
      <c r="P44" s="446"/>
      <c r="Q44" s="446"/>
      <c r="R44" s="446"/>
      <c r="S44" s="446"/>
      <c r="T44" s="446"/>
      <c r="U44" s="446"/>
      <c r="V44" s="446"/>
      <c r="W44" s="447"/>
      <c r="X44" s="111"/>
    </row>
    <row r="45" spans="1:97" ht="25" customHeight="1" thickTop="1" x14ac:dyDescent="0.35">
      <c r="A45" s="110"/>
      <c r="B45" s="448" t="str">
        <f>B3</f>
        <v>Project Name</v>
      </c>
      <c r="C45" s="449"/>
      <c r="D45" s="449"/>
      <c r="E45" s="449"/>
      <c r="F45" s="449"/>
      <c r="G45" s="449"/>
      <c r="H45" s="449"/>
      <c r="I45" s="449"/>
      <c r="J45" s="449"/>
      <c r="K45" s="449"/>
      <c r="L45" s="449"/>
      <c r="M45" s="449"/>
      <c r="N45" s="449"/>
      <c r="O45" s="449"/>
      <c r="P45" s="449"/>
      <c r="Q45" s="449"/>
      <c r="R45" s="449"/>
      <c r="S45" s="449"/>
      <c r="T45" s="449"/>
      <c r="U45" s="449"/>
      <c r="V45" s="449"/>
      <c r="W45" s="450"/>
      <c r="X45" s="111"/>
      <c r="Z45" s="133"/>
      <c r="AA45" s="134"/>
      <c r="AB45" s="134"/>
      <c r="AC45" s="134"/>
      <c r="AD45" s="134"/>
      <c r="AE45" s="134"/>
      <c r="AF45" s="134"/>
      <c r="AG45" s="134"/>
      <c r="AH45" s="135"/>
      <c r="AI45" s="135"/>
      <c r="AJ45" s="135"/>
      <c r="AK45" s="135"/>
      <c r="AL45" s="135"/>
      <c r="AM45" s="135"/>
      <c r="AN45" s="135"/>
      <c r="AO45" s="135"/>
      <c r="AP45" s="135"/>
      <c r="AQ45" s="135"/>
      <c r="AR45" s="136"/>
    </row>
    <row r="46" spans="1:97" ht="25" customHeight="1" x14ac:dyDescent="0.35">
      <c r="A46" s="110"/>
      <c r="B46" s="451" t="str">
        <f>B4</f>
        <v>Contract No: Enter Contract No num</v>
      </c>
      <c r="C46" s="452"/>
      <c r="D46" s="452"/>
      <c r="E46" s="452"/>
      <c r="F46" s="452"/>
      <c r="G46" s="452"/>
      <c r="H46" s="452"/>
      <c r="I46" s="452"/>
      <c r="J46" s="452"/>
      <c r="K46" s="452"/>
      <c r="L46" s="452"/>
      <c r="M46" s="452"/>
      <c r="N46" s="452"/>
      <c r="O46" s="452"/>
      <c r="P46" s="452"/>
      <c r="Q46" s="452"/>
      <c r="R46" s="452"/>
      <c r="S46" s="452"/>
      <c r="T46" s="452"/>
      <c r="U46" s="452"/>
      <c r="V46" s="452"/>
      <c r="W46" s="453"/>
      <c r="X46" s="111"/>
      <c r="Z46" s="137"/>
      <c r="AA46" s="160"/>
      <c r="AB46" s="160"/>
      <c r="AC46" s="160"/>
      <c r="AD46" s="160"/>
      <c r="AE46" s="160"/>
      <c r="AF46" s="160"/>
      <c r="AG46" s="160"/>
      <c r="AR46" s="138"/>
    </row>
    <row r="47" spans="1:97" ht="25" customHeight="1" x14ac:dyDescent="0.3">
      <c r="A47" s="110"/>
      <c r="B47" s="454" t="s">
        <v>1</v>
      </c>
      <c r="C47" s="455"/>
      <c r="D47" s="455"/>
      <c r="E47" s="455"/>
      <c r="F47" s="456"/>
      <c r="G47" s="457" t="s">
        <v>2</v>
      </c>
      <c r="H47" s="457"/>
      <c r="I47" s="457"/>
      <c r="J47" s="457"/>
      <c r="K47" s="457"/>
      <c r="L47" s="457"/>
      <c r="M47" s="457"/>
      <c r="N47" s="457"/>
      <c r="O47" s="457" t="s">
        <v>3</v>
      </c>
      <c r="P47" s="457"/>
      <c r="Q47" s="457"/>
      <c r="R47" s="457"/>
      <c r="S47" s="457"/>
      <c r="T47" s="457"/>
      <c r="U47" s="457"/>
      <c r="V47" s="457"/>
      <c r="W47" s="457"/>
      <c r="X47" s="111"/>
      <c r="Z47" s="139"/>
      <c r="AA47" s="161"/>
      <c r="AB47" s="161"/>
      <c r="AC47" s="161"/>
      <c r="AD47" s="161"/>
      <c r="AE47" s="161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140"/>
    </row>
    <row r="48" spans="1:97" ht="25" customHeight="1" x14ac:dyDescent="0.3">
      <c r="A48" s="110"/>
      <c r="B48" s="421" t="str">
        <f>B6</f>
        <v>Enetr Company Name</v>
      </c>
      <c r="C48" s="419"/>
      <c r="D48" s="419"/>
      <c r="E48" s="419"/>
      <c r="F48" s="420"/>
      <c r="G48" s="421" t="str">
        <f>G6</f>
        <v>Enetr Company Name</v>
      </c>
      <c r="H48" s="419"/>
      <c r="I48" s="419"/>
      <c r="J48" s="419"/>
      <c r="K48" s="419"/>
      <c r="L48" s="419"/>
      <c r="M48" s="419"/>
      <c r="N48" s="420"/>
      <c r="O48" s="421" t="str">
        <f>O6</f>
        <v>Enetr Company Name</v>
      </c>
      <c r="P48" s="419"/>
      <c r="Q48" s="419"/>
      <c r="R48" s="419"/>
      <c r="S48" s="419"/>
      <c r="T48" s="419"/>
      <c r="U48" s="419"/>
      <c r="V48" s="419"/>
      <c r="W48" s="420"/>
      <c r="X48" s="111"/>
      <c r="Z48" s="141"/>
      <c r="AA48" s="162"/>
      <c r="AB48" s="162"/>
      <c r="AC48" s="162"/>
      <c r="AD48" s="162"/>
      <c r="AE48" s="162"/>
      <c r="AF48" s="65"/>
      <c r="AG48" s="65"/>
      <c r="AH48" s="65"/>
      <c r="AI48" s="65"/>
      <c r="AJ48" s="65"/>
      <c r="AK48" s="65"/>
      <c r="AL48" s="65"/>
      <c r="AM48" s="65"/>
      <c r="AN48" s="65"/>
      <c r="AO48" s="65"/>
      <c r="AP48" s="65"/>
      <c r="AQ48" s="65"/>
      <c r="AR48" s="142"/>
    </row>
    <row r="49" spans="1:44" ht="17.25" customHeight="1" x14ac:dyDescent="0.35">
      <c r="A49" s="110"/>
      <c r="B49" s="477" t="s">
        <v>96</v>
      </c>
      <c r="C49" s="478"/>
      <c r="D49" s="478"/>
      <c r="E49" s="478"/>
      <c r="F49" s="479"/>
      <c r="G49" s="477" t="s">
        <v>96</v>
      </c>
      <c r="H49" s="478"/>
      <c r="I49" s="478"/>
      <c r="J49" s="478"/>
      <c r="K49" s="478"/>
      <c r="L49" s="478"/>
      <c r="M49" s="478"/>
      <c r="N49" s="479"/>
      <c r="O49" s="477" t="s">
        <v>96</v>
      </c>
      <c r="P49" s="478"/>
      <c r="Q49" s="478"/>
      <c r="R49" s="478"/>
      <c r="S49" s="478"/>
      <c r="T49" s="478"/>
      <c r="U49" s="478"/>
      <c r="V49" s="478"/>
      <c r="W49" s="479"/>
      <c r="X49" s="111"/>
      <c r="Z49" s="143"/>
      <c r="AA49" s="66"/>
      <c r="AB49" s="66"/>
      <c r="AC49" s="66"/>
      <c r="AD49" s="66"/>
      <c r="AE49" s="66"/>
      <c r="AF49" s="66"/>
      <c r="AG49" s="66"/>
      <c r="AR49" s="138"/>
    </row>
    <row r="50" spans="1:44" ht="17.25" customHeight="1" x14ac:dyDescent="0.35">
      <c r="A50" s="110"/>
      <c r="B50" s="480"/>
      <c r="C50" s="481"/>
      <c r="D50" s="481"/>
      <c r="E50" s="481"/>
      <c r="F50" s="482"/>
      <c r="G50" s="480"/>
      <c r="H50" s="481"/>
      <c r="I50" s="481"/>
      <c r="J50" s="481"/>
      <c r="K50" s="481"/>
      <c r="L50" s="481"/>
      <c r="M50" s="481"/>
      <c r="N50" s="482"/>
      <c r="O50" s="480"/>
      <c r="P50" s="481"/>
      <c r="Q50" s="481"/>
      <c r="R50" s="481"/>
      <c r="S50" s="481"/>
      <c r="T50" s="481"/>
      <c r="U50" s="481"/>
      <c r="V50" s="481"/>
      <c r="W50" s="482"/>
      <c r="X50" s="111"/>
      <c r="Z50" s="144"/>
      <c r="AA50" s="159"/>
      <c r="AB50" s="159"/>
      <c r="AC50" s="159"/>
      <c r="AD50" s="159"/>
      <c r="AE50" s="159"/>
      <c r="AF50" s="159"/>
      <c r="AG50" s="159"/>
      <c r="AR50" s="138"/>
    </row>
    <row r="51" spans="1:44" ht="17.25" customHeight="1" x14ac:dyDescent="0.35">
      <c r="A51" s="110"/>
      <c r="B51" s="483"/>
      <c r="C51" s="484"/>
      <c r="D51" s="484"/>
      <c r="E51" s="484"/>
      <c r="F51" s="485"/>
      <c r="G51" s="483"/>
      <c r="H51" s="484"/>
      <c r="I51" s="484"/>
      <c r="J51" s="484"/>
      <c r="K51" s="484"/>
      <c r="L51" s="484"/>
      <c r="M51" s="484"/>
      <c r="N51" s="485"/>
      <c r="O51" s="483"/>
      <c r="P51" s="484"/>
      <c r="Q51" s="484"/>
      <c r="R51" s="484"/>
      <c r="S51" s="484"/>
      <c r="T51" s="484"/>
      <c r="U51" s="484"/>
      <c r="V51" s="484"/>
      <c r="W51" s="485"/>
      <c r="X51" s="111"/>
      <c r="Z51" s="145"/>
      <c r="AA51" s="163"/>
      <c r="AB51" s="163"/>
      <c r="AC51" s="163"/>
      <c r="AD51" s="163"/>
      <c r="AE51" s="163"/>
      <c r="AF51" s="163"/>
      <c r="AG51" s="163"/>
      <c r="AR51" s="138"/>
    </row>
    <row r="52" spans="1:44" ht="40.5" customHeight="1" x14ac:dyDescent="0.35">
      <c r="A52" s="110"/>
      <c r="B52" s="427" t="s">
        <v>77</v>
      </c>
      <c r="C52" s="428"/>
      <c r="D52" s="428"/>
      <c r="E52" s="428"/>
      <c r="F52" s="428"/>
      <c r="G52" s="428"/>
      <c r="H52" s="428"/>
      <c r="I52" s="428"/>
      <c r="J52" s="428"/>
      <c r="K52" s="428"/>
      <c r="L52" s="428"/>
      <c r="M52" s="428"/>
      <c r="N52" s="428"/>
      <c r="O52" s="428"/>
      <c r="P52" s="428"/>
      <c r="Q52" s="428"/>
      <c r="R52" s="428"/>
      <c r="S52" s="428"/>
      <c r="T52" s="428"/>
      <c r="U52" s="428"/>
      <c r="V52" s="428"/>
      <c r="W52" s="429"/>
      <c r="X52" s="111"/>
      <c r="Z52" s="143"/>
      <c r="AA52" s="66"/>
      <c r="AB52" s="66"/>
      <c r="AC52" s="66"/>
      <c r="AD52" s="66"/>
      <c r="AE52" s="66"/>
      <c r="AF52" s="66"/>
      <c r="AG52" s="66"/>
      <c r="AH52" s="66"/>
      <c r="AI52" s="66"/>
      <c r="AJ52" s="66"/>
      <c r="AK52" s="66"/>
      <c r="AL52" s="66"/>
      <c r="AM52" s="66"/>
      <c r="AN52" s="66"/>
      <c r="AO52" s="66"/>
      <c r="AP52" s="66"/>
      <c r="AQ52" s="66"/>
      <c r="AR52" s="146"/>
    </row>
    <row r="53" spans="1:44" ht="17.25" customHeight="1" x14ac:dyDescent="0.35">
      <c r="A53" s="110"/>
      <c r="B53" s="113" t="s">
        <v>5</v>
      </c>
      <c r="C53" s="430" t="str">
        <f>C11</f>
        <v>ID</v>
      </c>
      <c r="D53" s="431"/>
      <c r="E53" s="431"/>
      <c r="F53" s="432"/>
      <c r="G53" s="433" t="s">
        <v>6</v>
      </c>
      <c r="H53" s="434"/>
      <c r="I53" s="430" t="str">
        <f>I11</f>
        <v>Road name</v>
      </c>
      <c r="J53" s="431"/>
      <c r="K53" s="431"/>
      <c r="L53" s="431"/>
      <c r="M53" s="431"/>
      <c r="N53" s="431"/>
      <c r="O53" s="431"/>
      <c r="P53" s="431"/>
      <c r="Q53" s="431"/>
      <c r="R53" s="431"/>
      <c r="S53" s="431"/>
      <c r="T53" s="431"/>
      <c r="U53" s="431"/>
      <c r="V53" s="431"/>
      <c r="W53" s="432"/>
      <c r="X53" s="111"/>
      <c r="Z53" s="143"/>
      <c r="AA53" s="66"/>
      <c r="AB53" s="66"/>
      <c r="AC53" s="66"/>
      <c r="AD53" s="66"/>
      <c r="AE53" s="66"/>
      <c r="AF53" s="66"/>
      <c r="AG53" s="66"/>
      <c r="AH53" s="66"/>
      <c r="AI53" s="66"/>
      <c r="AJ53" s="66"/>
      <c r="AK53" s="66"/>
      <c r="AL53" s="66"/>
      <c r="AM53" s="66"/>
      <c r="AN53" s="66"/>
      <c r="AO53" s="66"/>
      <c r="AP53" s="66"/>
      <c r="AQ53" s="66"/>
      <c r="AR53" s="146"/>
    </row>
    <row r="54" spans="1:44" ht="17.25" customHeight="1" x14ac:dyDescent="0.35">
      <c r="A54" s="110"/>
      <c r="B54" s="435"/>
      <c r="C54" s="436"/>
      <c r="D54" s="436"/>
      <c r="E54" s="436"/>
      <c r="F54" s="436"/>
      <c r="G54" s="436"/>
      <c r="H54" s="436"/>
      <c r="I54" s="436"/>
      <c r="J54" s="436"/>
      <c r="K54" s="436"/>
      <c r="L54" s="436"/>
      <c r="M54" s="436"/>
      <c r="N54" s="436"/>
      <c r="O54" s="436"/>
      <c r="P54" s="436"/>
      <c r="Q54" s="436"/>
      <c r="R54" s="436"/>
      <c r="S54" s="436"/>
      <c r="T54" s="436"/>
      <c r="U54" s="436"/>
      <c r="V54" s="436"/>
      <c r="W54" s="437"/>
      <c r="X54" s="111"/>
      <c r="Z54" s="143"/>
      <c r="AA54" s="66"/>
      <c r="AB54" s="66"/>
      <c r="AC54" s="66"/>
      <c r="AD54" s="66"/>
      <c r="AE54" s="66"/>
      <c r="AF54" s="66"/>
      <c r="AG54" s="66"/>
      <c r="AH54" s="66"/>
      <c r="AI54" s="66"/>
      <c r="AJ54" s="66"/>
      <c r="AK54" s="66"/>
      <c r="AL54" s="66"/>
      <c r="AM54" s="66"/>
      <c r="AN54" s="66"/>
      <c r="AO54" s="66"/>
      <c r="AP54" s="66"/>
      <c r="AQ54" s="66"/>
      <c r="AR54" s="146"/>
    </row>
    <row r="55" spans="1:44" ht="14.25" customHeight="1" thickBot="1" x14ac:dyDescent="0.35">
      <c r="A55" s="110"/>
      <c r="B55" s="438" t="s">
        <v>61</v>
      </c>
      <c r="C55" s="438" t="s">
        <v>10</v>
      </c>
      <c r="D55" s="425" t="s">
        <v>62</v>
      </c>
      <c r="E55" s="441"/>
      <c r="F55" s="426"/>
      <c r="G55" s="425" t="s">
        <v>63</v>
      </c>
      <c r="H55" s="441"/>
      <c r="I55" s="441"/>
      <c r="J55" s="441"/>
      <c r="K55" s="441"/>
      <c r="L55" s="441"/>
      <c r="M55" s="441"/>
      <c r="N55" s="441"/>
      <c r="O55" s="441"/>
      <c r="P55" s="441"/>
      <c r="Q55" s="441"/>
      <c r="R55" s="441"/>
      <c r="S55" s="441"/>
      <c r="T55" s="441"/>
      <c r="U55" s="441"/>
      <c r="V55" s="441"/>
      <c r="W55" s="426"/>
      <c r="X55" s="111"/>
      <c r="Z55" s="147"/>
      <c r="AR55" s="138"/>
    </row>
    <row r="56" spans="1:44" ht="14.25" customHeight="1" x14ac:dyDescent="0.3">
      <c r="A56" s="110"/>
      <c r="B56" s="439"/>
      <c r="C56" s="439"/>
      <c r="D56" s="68" t="s">
        <v>41</v>
      </c>
      <c r="E56" s="69" t="s">
        <v>64</v>
      </c>
      <c r="F56" s="70" t="s">
        <v>65</v>
      </c>
      <c r="G56" s="425" t="s">
        <v>66</v>
      </c>
      <c r="H56" s="426"/>
      <c r="I56" s="425" t="s">
        <v>67</v>
      </c>
      <c r="J56" s="426"/>
      <c r="K56" s="425" t="s">
        <v>68</v>
      </c>
      <c r="L56" s="426"/>
      <c r="M56" s="425" t="s">
        <v>69</v>
      </c>
      <c r="N56" s="426"/>
      <c r="O56" s="425" t="s">
        <v>70</v>
      </c>
      <c r="P56" s="426"/>
      <c r="Q56" s="425" t="s">
        <v>71</v>
      </c>
      <c r="R56" s="426"/>
      <c r="S56" s="425" t="s">
        <v>72</v>
      </c>
      <c r="T56" s="426"/>
      <c r="U56" s="425" t="s">
        <v>73</v>
      </c>
      <c r="V56" s="426"/>
      <c r="W56" s="442" t="s">
        <v>74</v>
      </c>
      <c r="X56" s="111"/>
      <c r="Z56" s="147"/>
      <c r="AA56" s="462" t="s">
        <v>78</v>
      </c>
      <c r="AB56" s="463"/>
      <c r="AC56" s="463"/>
      <c r="AD56" s="463"/>
      <c r="AE56" s="463"/>
      <c r="AF56" s="463"/>
      <c r="AG56" s="464"/>
      <c r="AR56" s="138"/>
    </row>
    <row r="57" spans="1:44" ht="14.25" customHeight="1" x14ac:dyDescent="0.3">
      <c r="A57" s="110"/>
      <c r="B57" s="439"/>
      <c r="C57" s="439"/>
      <c r="D57" s="71"/>
      <c r="E57" s="72"/>
      <c r="F57" s="168" t="s">
        <v>75</v>
      </c>
      <c r="G57" s="69" t="s">
        <v>76</v>
      </c>
      <c r="H57" s="73" t="s">
        <v>74</v>
      </c>
      <c r="I57" s="69" t="s">
        <v>76</v>
      </c>
      <c r="J57" s="168" t="s">
        <v>74</v>
      </c>
      <c r="K57" s="69" t="s">
        <v>76</v>
      </c>
      <c r="L57" s="73" t="s">
        <v>74</v>
      </c>
      <c r="M57" s="69" t="s">
        <v>76</v>
      </c>
      <c r="N57" s="73" t="s">
        <v>74</v>
      </c>
      <c r="O57" s="69" t="s">
        <v>76</v>
      </c>
      <c r="P57" s="73" t="s">
        <v>74</v>
      </c>
      <c r="Q57" s="74" t="s">
        <v>76</v>
      </c>
      <c r="R57" s="168" t="s">
        <v>74</v>
      </c>
      <c r="S57" s="71" t="s">
        <v>76</v>
      </c>
      <c r="T57" s="73" t="s">
        <v>74</v>
      </c>
      <c r="U57" s="74" t="s">
        <v>76</v>
      </c>
      <c r="V57" s="168" t="s">
        <v>74</v>
      </c>
      <c r="W57" s="443"/>
      <c r="X57" s="111"/>
      <c r="Z57" s="147"/>
      <c r="AA57" s="465"/>
      <c r="AB57" s="466"/>
      <c r="AC57" s="466"/>
      <c r="AD57" s="466"/>
      <c r="AE57" s="466"/>
      <c r="AF57" s="466"/>
      <c r="AG57" s="467"/>
      <c r="AI57" s="64"/>
      <c r="AJ57" s="64"/>
      <c r="AK57" s="64"/>
      <c r="AR57" s="138"/>
    </row>
    <row r="58" spans="1:44" ht="14.25" customHeight="1" thickBot="1" x14ac:dyDescent="0.35">
      <c r="A58" s="110"/>
      <c r="B58" s="440"/>
      <c r="C58" s="440"/>
      <c r="D58" s="75"/>
      <c r="E58" s="76"/>
      <c r="F58" s="77"/>
      <c r="G58" s="76" t="s">
        <v>30</v>
      </c>
      <c r="H58" s="78"/>
      <c r="I58" s="76" t="s">
        <v>30</v>
      </c>
      <c r="J58" s="77"/>
      <c r="K58" s="76" t="s">
        <v>30</v>
      </c>
      <c r="L58" s="78"/>
      <c r="M58" s="76" t="s">
        <v>30</v>
      </c>
      <c r="N58" s="78"/>
      <c r="O58" s="76" t="s">
        <v>30</v>
      </c>
      <c r="P58" s="78"/>
      <c r="Q58" s="78" t="s">
        <v>30</v>
      </c>
      <c r="R58" s="77"/>
      <c r="S58" s="75" t="s">
        <v>30</v>
      </c>
      <c r="T58" s="78"/>
      <c r="U58" s="78" t="s">
        <v>30</v>
      </c>
      <c r="V58" s="77"/>
      <c r="W58" s="444"/>
      <c r="X58" s="111"/>
      <c r="Z58" s="147"/>
      <c r="AA58" s="468"/>
      <c r="AB58" s="469"/>
      <c r="AC58" s="469"/>
      <c r="AD58" s="469"/>
      <c r="AE58" s="469"/>
      <c r="AF58" s="469"/>
      <c r="AG58" s="470"/>
      <c r="AI58" s="191"/>
      <c r="AJ58" s="191"/>
      <c r="AK58" s="191"/>
      <c r="AR58" s="138"/>
    </row>
    <row r="59" spans="1:44" ht="22" customHeight="1" x14ac:dyDescent="0.3">
      <c r="A59" s="110"/>
      <c r="B59" s="164" t="str" cm="1">
        <f t="array" aca="1" ref="B59" ca="1">IF(AA59&lt;&gt;"",INDIRECT($AA59 &amp; "!$D$11"),"")</f>
        <v/>
      </c>
      <c r="C59" s="165" t="str" cm="1">
        <f t="array" aca="1" ref="C59" ca="1">IF(B59&lt;&gt;"",INDIRECT($AA59 &amp; "!$U$12"),"")</f>
        <v/>
      </c>
      <c r="D59" s="164" t="str" cm="1">
        <f t="array" aca="1" ref="D59" ca="1">IF(B59&lt;&gt;"",INDIRECT($AA59 &amp; "!AA$11"),"")</f>
        <v/>
      </c>
      <c r="E59" s="164" t="str" cm="1">
        <f t="array" aca="1" ref="E59" ca="1">IF(B59&lt;&gt;"",INDIRECT($AA59 &amp; "!$AB$11"),"")</f>
        <v/>
      </c>
      <c r="F59" s="166" t="str" cm="1">
        <f t="array" aca="1" ref="F59" ca="1">IF(B59&lt;&gt;"",INDIRECT($AA59 &amp; "!$AG$11"),"")</f>
        <v/>
      </c>
      <c r="G59" s="166" t="str" cm="1">
        <f t="array" aca="1" ref="G59" ca="1">IF(B59&lt;&gt;"",INDIRECT($AA59 &amp; "!$AB$40"),"")</f>
        <v/>
      </c>
      <c r="H59" s="166" t="str" cm="1">
        <f t="array" aca="1" ref="H59" ca="1">IF(B59&lt;&gt;"",INDIRECT($AA59 &amp; "!$AF$40"),"")</f>
        <v/>
      </c>
      <c r="I59" s="166" t="str" cm="1">
        <f t="array" aca="1" ref="I59" ca="1">IF(B59&lt;&gt;"",INDIRECT($AA59 &amp; "!$AB$41"),"")</f>
        <v/>
      </c>
      <c r="J59" s="166" t="str" cm="1">
        <f t="array" aca="1" ref="J59" ca="1">IF(B59&lt;&gt;"",INDIRECT($AA59 &amp; "!$AF$41"),"")</f>
        <v/>
      </c>
      <c r="K59" s="166" t="str" cm="1">
        <f t="array" aca="1" ref="K59" ca="1">IF(B59&lt;&gt;"",INDIRECT($AA59 &amp; "!$AB$42"),"")</f>
        <v/>
      </c>
      <c r="L59" s="166" t="str" cm="1">
        <f t="array" aca="1" ref="L59" ca="1">IF(B59&lt;&gt;"",INDIRECT($AA59 &amp; "!$AF$42"),"")</f>
        <v/>
      </c>
      <c r="M59" s="166" t="str" cm="1">
        <f t="array" aca="1" ref="M59" ca="1">IF(B59&lt;&gt;"",INDIRECT($AA59 &amp; "!$AB$43"),"")</f>
        <v/>
      </c>
      <c r="N59" s="166" t="str" cm="1">
        <f t="array" aca="1" ref="N59" ca="1">IF(B59&lt;&gt;"",INDIRECT($AA59 &amp; "!$AF$43"),"")</f>
        <v/>
      </c>
      <c r="O59" s="166" t="str" cm="1">
        <f t="array" aca="1" ref="O59" ca="1">IF(B59&lt;&gt;"",INDIRECT($AA59 &amp; "!$AB$44"),"")</f>
        <v/>
      </c>
      <c r="P59" s="166" t="str" cm="1">
        <f t="array" aca="1" ref="P59" ca="1">IF(B59&lt;&gt;"",INDIRECT($AA59 &amp; "!$AF$44"),"")</f>
        <v/>
      </c>
      <c r="Q59" s="166" t="str" cm="1">
        <f t="array" aca="1" ref="Q59" ca="1">IF(B59&lt;&gt;"",INDIRECT($AA59 &amp; "!$AB$45"),"")</f>
        <v/>
      </c>
      <c r="R59" s="166" t="str" cm="1">
        <f t="array" aca="1" ref="R59" ca="1">IF(B59&lt;&gt;"",INDIRECT($AA59 &amp; "!$AF$45"),"")</f>
        <v/>
      </c>
      <c r="S59" s="166" t="str" cm="1">
        <f t="array" aca="1" ref="S59" ca="1">IF(B59&lt;&gt;"",INDIRECT($AA59 &amp; "!$AB$46"),"")</f>
        <v/>
      </c>
      <c r="T59" s="166" t="str" cm="1">
        <f t="array" aca="1" ref="T59" ca="1">IF(B59&lt;&gt;"",INDIRECT($AA59 &amp; "!$AF$46"),"")</f>
        <v/>
      </c>
      <c r="U59" s="166" t="str" cm="1">
        <f t="array" aca="1" ref="U59" ca="1">IF(B59&lt;&gt;"",INDIRECT($AA59 &amp; "!$AB$47"),"")</f>
        <v/>
      </c>
      <c r="V59" s="166" t="str" cm="1">
        <f t="array" aca="1" ref="V59" ca="1">IF(B59&lt;&gt;"",INDIRECT($AA59 &amp; "!$AF$47"),"")</f>
        <v/>
      </c>
      <c r="W59" s="167" t="str" cm="1">
        <f t="array" aca="1" ref="W59" ca="1">IF(B59&lt;&gt;"",INDIRECT($AA59 &amp; "!$AF$54"),"")</f>
        <v/>
      </c>
      <c r="X59" s="111"/>
      <c r="Z59" s="147"/>
      <c r="AA59" s="156"/>
      <c r="AB59" s="157"/>
      <c r="AC59" s="157"/>
      <c r="AD59" s="157"/>
      <c r="AE59" s="157"/>
      <c r="AF59" s="157"/>
      <c r="AG59" s="158"/>
      <c r="AR59" s="138"/>
    </row>
    <row r="60" spans="1:44" ht="22" customHeight="1" x14ac:dyDescent="0.3">
      <c r="A60" s="110"/>
      <c r="B60" s="164" t="str" cm="1">
        <f t="array" aca="1" ref="B60" ca="1">IF(AA60&lt;&gt;"",INDIRECT($AA60 &amp; "!$D$11"),"")</f>
        <v/>
      </c>
      <c r="C60" s="165" t="str" cm="1">
        <f t="array" aca="1" ref="C60" ca="1">IF(B60&lt;&gt;"",INDIRECT($AA60 &amp; "!$U$12"),"")</f>
        <v/>
      </c>
      <c r="D60" s="164" t="str" cm="1">
        <f t="array" aca="1" ref="D60" ca="1">IF(B60&lt;&gt;"",INDIRECT($AA60 &amp; "!AA$11"),"")</f>
        <v/>
      </c>
      <c r="E60" s="164" t="str" cm="1">
        <f t="array" aca="1" ref="E60" ca="1">IF(B60&lt;&gt;"",INDIRECT($AA60 &amp; "!$AB$11"),"")</f>
        <v/>
      </c>
      <c r="F60" s="166" t="str" cm="1">
        <f t="array" aca="1" ref="F60" ca="1">IF(B60&lt;&gt;"",INDIRECT($AA60 &amp; "!$AG$11"),"")</f>
        <v/>
      </c>
      <c r="G60" s="166" t="str" cm="1">
        <f t="array" aca="1" ref="G60" ca="1">IF(B60&lt;&gt;"",INDIRECT($AA60 &amp; "!$AB$40"),"")</f>
        <v/>
      </c>
      <c r="H60" s="166" t="str" cm="1">
        <f t="array" aca="1" ref="H60" ca="1">IF(B60&lt;&gt;"",INDIRECT($AA60 &amp; "!$AF$40"),"")</f>
        <v/>
      </c>
      <c r="I60" s="166" t="str" cm="1">
        <f t="array" aca="1" ref="I60" ca="1">IF(B60&lt;&gt;"",INDIRECT($AA60 &amp; "!$AB$41"),"")</f>
        <v/>
      </c>
      <c r="J60" s="166" t="str" cm="1">
        <f t="array" aca="1" ref="J60" ca="1">IF(B60&lt;&gt;"",INDIRECT($AA60 &amp; "!$AF$41"),"")</f>
        <v/>
      </c>
      <c r="K60" s="166" t="str" cm="1">
        <f t="array" aca="1" ref="K60" ca="1">IF(B60&lt;&gt;"",INDIRECT($AA60 &amp; "!$AB$42"),"")</f>
        <v/>
      </c>
      <c r="L60" s="166" t="str" cm="1">
        <f t="array" aca="1" ref="L60" ca="1">IF(B60&lt;&gt;"",INDIRECT($AA60 &amp; "!$AF$42"),"")</f>
        <v/>
      </c>
      <c r="M60" s="166" t="str" cm="1">
        <f t="array" aca="1" ref="M60" ca="1">IF(B60&lt;&gt;"",INDIRECT($AA60 &amp; "!$AB$43"),"")</f>
        <v/>
      </c>
      <c r="N60" s="166" t="str" cm="1">
        <f t="array" aca="1" ref="N60" ca="1">IF(B60&lt;&gt;"",INDIRECT($AA60 &amp; "!$AF$43"),"")</f>
        <v/>
      </c>
      <c r="O60" s="166" t="str" cm="1">
        <f t="array" aca="1" ref="O60" ca="1">IF(B60&lt;&gt;"",INDIRECT($AA60 &amp; "!$AB$44"),"")</f>
        <v/>
      </c>
      <c r="P60" s="166" t="str" cm="1">
        <f t="array" aca="1" ref="P60" ca="1">IF(B60&lt;&gt;"",INDIRECT($AA60 &amp; "!$AF$44"),"")</f>
        <v/>
      </c>
      <c r="Q60" s="166" t="str" cm="1">
        <f t="array" aca="1" ref="Q60" ca="1">IF(B60&lt;&gt;"",INDIRECT($AA60 &amp; "!$AB$45"),"")</f>
        <v/>
      </c>
      <c r="R60" s="166" t="str" cm="1">
        <f t="array" aca="1" ref="R60" ca="1">IF(B60&lt;&gt;"",INDIRECT($AA60 &amp; "!$AF$45"),"")</f>
        <v/>
      </c>
      <c r="S60" s="166" t="str" cm="1">
        <f t="array" aca="1" ref="S60" ca="1">IF(B60&lt;&gt;"",INDIRECT($AA60 &amp; "!$AB$46"),"")</f>
        <v/>
      </c>
      <c r="T60" s="166" t="str" cm="1">
        <f t="array" aca="1" ref="T60" ca="1">IF(B60&lt;&gt;"",INDIRECT($AA60 &amp; "!$AF$46"),"")</f>
        <v/>
      </c>
      <c r="U60" s="166" t="str" cm="1">
        <f t="array" aca="1" ref="U60" ca="1">IF(B60&lt;&gt;"",INDIRECT($AA60 &amp; "!$AB$47"),"")</f>
        <v/>
      </c>
      <c r="V60" s="166" t="str" cm="1">
        <f t="array" aca="1" ref="V60" ca="1">IF(B60&lt;&gt;"",INDIRECT($AA60 &amp; "!$AF$47"),"")</f>
        <v/>
      </c>
      <c r="W60" s="167" t="str" cm="1">
        <f t="array" aca="1" ref="W60" ca="1">IF(B60&lt;&gt;"",INDIRECT($AA60 &amp; "!$AF$54"),"")</f>
        <v/>
      </c>
      <c r="X60" s="111"/>
      <c r="Z60" s="147"/>
      <c r="AA60" s="153" t="str">
        <f t="shared" ref="AA60:AA76" si="1">IF(AI60&lt;&gt;"",AI60,"")</f>
        <v/>
      </c>
      <c r="AB60" s="154"/>
      <c r="AC60" s="154"/>
      <c r="AD60" s="154"/>
      <c r="AE60" s="154"/>
      <c r="AF60" s="154"/>
      <c r="AG60" s="155"/>
      <c r="AR60" s="138"/>
    </row>
    <row r="61" spans="1:44" ht="22" customHeight="1" x14ac:dyDescent="0.3">
      <c r="A61" s="110"/>
      <c r="B61" s="164" t="str" cm="1">
        <f t="array" aca="1" ref="B61" ca="1">IF(AA61&lt;&gt;"",INDIRECT($AA61 &amp; "!$D$11"),"")</f>
        <v/>
      </c>
      <c r="C61" s="165" t="str" cm="1">
        <f t="array" aca="1" ref="C61" ca="1">IF(B61&lt;&gt;"",INDIRECT($AA61 &amp; "!$U$12"),"")</f>
        <v/>
      </c>
      <c r="D61" s="164" t="str" cm="1">
        <f t="array" aca="1" ref="D61" ca="1">IF(B61&lt;&gt;"",INDIRECT($AA61 &amp; "!AA$11"),"")</f>
        <v/>
      </c>
      <c r="E61" s="164" t="str" cm="1">
        <f t="array" aca="1" ref="E61" ca="1">IF(B61&lt;&gt;"",INDIRECT($AA61 &amp; "!$AB$11"),"")</f>
        <v/>
      </c>
      <c r="F61" s="166" t="str" cm="1">
        <f t="array" aca="1" ref="F61" ca="1">IF(B61&lt;&gt;"",INDIRECT($AA61 &amp; "!$AG$11"),"")</f>
        <v/>
      </c>
      <c r="G61" s="166" t="str" cm="1">
        <f t="array" aca="1" ref="G61" ca="1">IF(B61&lt;&gt;"",INDIRECT($AA61 &amp; "!$AB$40"),"")</f>
        <v/>
      </c>
      <c r="H61" s="166" t="str" cm="1">
        <f t="array" aca="1" ref="H61" ca="1">IF(B61&lt;&gt;"",INDIRECT($AA61 &amp; "!$AF$40"),"")</f>
        <v/>
      </c>
      <c r="I61" s="166" t="str" cm="1">
        <f t="array" aca="1" ref="I61" ca="1">IF(B61&lt;&gt;"",INDIRECT($AA61 &amp; "!$AB$41"),"")</f>
        <v/>
      </c>
      <c r="J61" s="166" t="str" cm="1">
        <f t="array" aca="1" ref="J61" ca="1">IF(B61&lt;&gt;"",INDIRECT($AA61 &amp; "!$AF$41"),"")</f>
        <v/>
      </c>
      <c r="K61" s="166" t="str" cm="1">
        <f t="array" aca="1" ref="K61" ca="1">IF(B61&lt;&gt;"",INDIRECT($AA61 &amp; "!$AB$42"),"")</f>
        <v/>
      </c>
      <c r="L61" s="166" t="str" cm="1">
        <f t="array" aca="1" ref="L61" ca="1">IF(B61&lt;&gt;"",INDIRECT($AA61 &amp; "!$AF$42"),"")</f>
        <v/>
      </c>
      <c r="M61" s="166" t="str" cm="1">
        <f t="array" aca="1" ref="M61" ca="1">IF(B61&lt;&gt;"",INDIRECT($AA61 &amp; "!$AB$43"),"")</f>
        <v/>
      </c>
      <c r="N61" s="166" t="str" cm="1">
        <f t="array" aca="1" ref="N61" ca="1">IF(B61&lt;&gt;"",INDIRECT($AA61 &amp; "!$AF$43"),"")</f>
        <v/>
      </c>
      <c r="O61" s="166" t="str" cm="1">
        <f t="array" aca="1" ref="O61" ca="1">IF(B61&lt;&gt;"",INDIRECT($AA61 &amp; "!$AB$44"),"")</f>
        <v/>
      </c>
      <c r="P61" s="166" t="str" cm="1">
        <f t="array" aca="1" ref="P61" ca="1">IF(B61&lt;&gt;"",INDIRECT($AA61 &amp; "!$AF$44"),"")</f>
        <v/>
      </c>
      <c r="Q61" s="166" t="str" cm="1">
        <f t="array" aca="1" ref="Q61" ca="1">IF(B61&lt;&gt;"",INDIRECT($AA61 &amp; "!$AB$45"),"")</f>
        <v/>
      </c>
      <c r="R61" s="166" t="str" cm="1">
        <f t="array" aca="1" ref="R61" ca="1">IF(B61&lt;&gt;"",INDIRECT($AA61 &amp; "!$AF$45"),"")</f>
        <v/>
      </c>
      <c r="S61" s="166" t="str" cm="1">
        <f t="array" aca="1" ref="S61" ca="1">IF(B61&lt;&gt;"",INDIRECT($AA61 &amp; "!$AB$46"),"")</f>
        <v/>
      </c>
      <c r="T61" s="166" t="str" cm="1">
        <f t="array" aca="1" ref="T61" ca="1">IF(B61&lt;&gt;"",INDIRECT($AA61 &amp; "!$AF$46"),"")</f>
        <v/>
      </c>
      <c r="U61" s="166" t="str" cm="1">
        <f t="array" aca="1" ref="U61" ca="1">IF(B61&lt;&gt;"",INDIRECT($AA61 &amp; "!$AB$47"),"")</f>
        <v/>
      </c>
      <c r="V61" s="166" t="str" cm="1">
        <f t="array" aca="1" ref="V61" ca="1">IF(B61&lt;&gt;"",INDIRECT($AA61 &amp; "!$AF$47"),"")</f>
        <v/>
      </c>
      <c r="W61" s="167" t="str" cm="1">
        <f t="array" aca="1" ref="W61" ca="1">IF(B61&lt;&gt;"",INDIRECT($AA61 &amp; "!$AF$54"),"")</f>
        <v/>
      </c>
      <c r="X61" s="111"/>
      <c r="Z61" s="147"/>
      <c r="AA61" s="153" t="str">
        <f t="shared" si="1"/>
        <v/>
      </c>
      <c r="AB61" s="154"/>
      <c r="AC61" s="154"/>
      <c r="AD61" s="154"/>
      <c r="AE61" s="154"/>
      <c r="AF61" s="154"/>
      <c r="AG61" s="155"/>
      <c r="AR61" s="138"/>
    </row>
    <row r="62" spans="1:44" ht="22" customHeight="1" x14ac:dyDescent="0.3">
      <c r="A62" s="110"/>
      <c r="B62" s="164" t="str" cm="1">
        <f t="array" aca="1" ref="B62" ca="1">IF(AA62&lt;&gt;"",INDIRECT($AA62 &amp; "!$D$11"),"")</f>
        <v/>
      </c>
      <c r="C62" s="165" t="str" cm="1">
        <f t="array" aca="1" ref="C62" ca="1">IF(B62&lt;&gt;"",INDIRECT($AA62 &amp; "!$U$12"),"")</f>
        <v/>
      </c>
      <c r="D62" s="164" t="str" cm="1">
        <f t="array" aca="1" ref="D62" ca="1">IF(B62&lt;&gt;"",INDIRECT($AA62 &amp; "!AA$11"),"")</f>
        <v/>
      </c>
      <c r="E62" s="164" t="str" cm="1">
        <f t="array" aca="1" ref="E62" ca="1">IF(B62&lt;&gt;"",INDIRECT($AA62 &amp; "!$AB$11"),"")</f>
        <v/>
      </c>
      <c r="F62" s="166" t="str" cm="1">
        <f t="array" aca="1" ref="F62" ca="1">IF(B62&lt;&gt;"",INDIRECT($AA62 &amp; "!$AG$11"),"")</f>
        <v/>
      </c>
      <c r="G62" s="166" t="str" cm="1">
        <f t="array" aca="1" ref="G62" ca="1">IF(B62&lt;&gt;"",INDIRECT($AA62 &amp; "!$AB$40"),"")</f>
        <v/>
      </c>
      <c r="H62" s="166" t="str" cm="1">
        <f t="array" aca="1" ref="H62" ca="1">IF(B62&lt;&gt;"",INDIRECT($AA62 &amp; "!$AF$40"),"")</f>
        <v/>
      </c>
      <c r="I62" s="166" t="str" cm="1">
        <f t="array" aca="1" ref="I62" ca="1">IF(B62&lt;&gt;"",INDIRECT($AA62 &amp; "!$AB$41"),"")</f>
        <v/>
      </c>
      <c r="J62" s="166" t="str" cm="1">
        <f t="array" aca="1" ref="J62" ca="1">IF(B62&lt;&gt;"",INDIRECT($AA62 &amp; "!$AF$41"),"")</f>
        <v/>
      </c>
      <c r="K62" s="166" t="str" cm="1">
        <f t="array" aca="1" ref="K62" ca="1">IF(B62&lt;&gt;"",INDIRECT($AA62 &amp; "!$AB$42"),"")</f>
        <v/>
      </c>
      <c r="L62" s="166" t="str" cm="1">
        <f t="array" aca="1" ref="L62" ca="1">IF(B62&lt;&gt;"",INDIRECT($AA62 &amp; "!$AF$42"),"")</f>
        <v/>
      </c>
      <c r="M62" s="166" t="str" cm="1">
        <f t="array" aca="1" ref="M62" ca="1">IF(B62&lt;&gt;"",INDIRECT($AA62 &amp; "!$AB$43"),"")</f>
        <v/>
      </c>
      <c r="N62" s="166" t="str" cm="1">
        <f t="array" aca="1" ref="N62" ca="1">IF(B62&lt;&gt;"",INDIRECT($AA62 &amp; "!$AF$43"),"")</f>
        <v/>
      </c>
      <c r="O62" s="166" t="str" cm="1">
        <f t="array" aca="1" ref="O62" ca="1">IF(B62&lt;&gt;"",INDIRECT($AA62 &amp; "!$AB$44"),"")</f>
        <v/>
      </c>
      <c r="P62" s="166" t="str" cm="1">
        <f t="array" aca="1" ref="P62" ca="1">IF(B62&lt;&gt;"",INDIRECT($AA62 &amp; "!$AF$44"),"")</f>
        <v/>
      </c>
      <c r="Q62" s="166" t="str" cm="1">
        <f t="array" aca="1" ref="Q62" ca="1">IF(B62&lt;&gt;"",INDIRECT($AA62 &amp; "!$AB$45"),"")</f>
        <v/>
      </c>
      <c r="R62" s="166" t="str" cm="1">
        <f t="array" aca="1" ref="R62" ca="1">IF(B62&lt;&gt;"",INDIRECT($AA62 &amp; "!$AF$45"),"")</f>
        <v/>
      </c>
      <c r="S62" s="166" t="str" cm="1">
        <f t="array" aca="1" ref="S62" ca="1">IF(B62&lt;&gt;"",INDIRECT($AA62 &amp; "!$AB$46"),"")</f>
        <v/>
      </c>
      <c r="T62" s="166" t="str" cm="1">
        <f t="array" aca="1" ref="T62" ca="1">IF(B62&lt;&gt;"",INDIRECT($AA62 &amp; "!$AF$46"),"")</f>
        <v/>
      </c>
      <c r="U62" s="166" t="str" cm="1">
        <f t="array" aca="1" ref="U62" ca="1">IF(B62&lt;&gt;"",INDIRECT($AA62 &amp; "!$AB$47"),"")</f>
        <v/>
      </c>
      <c r="V62" s="166" t="str" cm="1">
        <f t="array" aca="1" ref="V62" ca="1">IF(B62&lt;&gt;"",INDIRECT($AA62 &amp; "!$AF$47"),"")</f>
        <v/>
      </c>
      <c r="W62" s="167" t="str" cm="1">
        <f t="array" aca="1" ref="W62" ca="1">IF(B62&lt;&gt;"",INDIRECT($AA62 &amp; "!$AF$54"),"")</f>
        <v/>
      </c>
      <c r="X62" s="111"/>
      <c r="Z62" s="147"/>
      <c r="AA62" s="153" t="str">
        <f t="shared" si="1"/>
        <v/>
      </c>
      <c r="AB62" s="154"/>
      <c r="AC62" s="154"/>
      <c r="AD62" s="154"/>
      <c r="AE62" s="154"/>
      <c r="AF62" s="154"/>
      <c r="AG62" s="155"/>
      <c r="AR62" s="138"/>
    </row>
    <row r="63" spans="1:44" ht="22" customHeight="1" x14ac:dyDescent="0.3">
      <c r="A63" s="110"/>
      <c r="B63" s="164" t="str" cm="1">
        <f t="array" aca="1" ref="B63" ca="1">IF(AA63&lt;&gt;"",INDIRECT($AA63 &amp; "!$D$11"),"")</f>
        <v/>
      </c>
      <c r="C63" s="165" t="str" cm="1">
        <f t="array" aca="1" ref="C63" ca="1">IF(B63&lt;&gt;"",INDIRECT($AA63 &amp; "!$U$12"),"")</f>
        <v/>
      </c>
      <c r="D63" s="164" t="str" cm="1">
        <f t="array" aca="1" ref="D63" ca="1">IF(B63&lt;&gt;"",INDIRECT($AA63 &amp; "!AA$11"),"")</f>
        <v/>
      </c>
      <c r="E63" s="164" t="str" cm="1">
        <f t="array" aca="1" ref="E63" ca="1">IF(B63&lt;&gt;"",INDIRECT($AA63 &amp; "!$AB$11"),"")</f>
        <v/>
      </c>
      <c r="F63" s="166" t="str" cm="1">
        <f t="array" aca="1" ref="F63" ca="1">IF(B63&lt;&gt;"",INDIRECT($AA63 &amp; "!$AG$11"),"")</f>
        <v/>
      </c>
      <c r="G63" s="166" t="str" cm="1">
        <f t="array" aca="1" ref="G63" ca="1">IF(B63&lt;&gt;"",INDIRECT($AA63 &amp; "!$AB$40"),"")</f>
        <v/>
      </c>
      <c r="H63" s="166" t="str" cm="1">
        <f t="array" aca="1" ref="H63" ca="1">IF(B63&lt;&gt;"",INDIRECT($AA63 &amp; "!$AF$40"),"")</f>
        <v/>
      </c>
      <c r="I63" s="166" t="str" cm="1">
        <f t="array" aca="1" ref="I63" ca="1">IF(B63&lt;&gt;"",INDIRECT($AA63 &amp; "!$AB$41"),"")</f>
        <v/>
      </c>
      <c r="J63" s="166" t="str" cm="1">
        <f t="array" aca="1" ref="J63" ca="1">IF(B63&lt;&gt;"",INDIRECT($AA63 &amp; "!$AF$41"),"")</f>
        <v/>
      </c>
      <c r="K63" s="166" t="str" cm="1">
        <f t="array" aca="1" ref="K63" ca="1">IF(B63&lt;&gt;"",INDIRECT($AA63 &amp; "!$AB$42"),"")</f>
        <v/>
      </c>
      <c r="L63" s="166" t="str" cm="1">
        <f t="array" aca="1" ref="L63" ca="1">IF(B63&lt;&gt;"",INDIRECT($AA63 &amp; "!$AF$42"),"")</f>
        <v/>
      </c>
      <c r="M63" s="166" t="str" cm="1">
        <f t="array" aca="1" ref="M63" ca="1">IF(B63&lt;&gt;"",INDIRECT($AA63 &amp; "!$AB$43"),"")</f>
        <v/>
      </c>
      <c r="N63" s="166" t="str" cm="1">
        <f t="array" aca="1" ref="N63" ca="1">IF(B63&lt;&gt;"",INDIRECT($AA63 &amp; "!$AF$43"),"")</f>
        <v/>
      </c>
      <c r="O63" s="166" t="str" cm="1">
        <f t="array" aca="1" ref="O63" ca="1">IF(B63&lt;&gt;"",INDIRECT($AA63 &amp; "!$AB$44"),"")</f>
        <v/>
      </c>
      <c r="P63" s="166" t="str" cm="1">
        <f t="array" aca="1" ref="P63" ca="1">IF(B63&lt;&gt;"",INDIRECT($AA63 &amp; "!$AF$44"),"")</f>
        <v/>
      </c>
      <c r="Q63" s="166" t="str" cm="1">
        <f t="array" aca="1" ref="Q63" ca="1">IF(B63&lt;&gt;"",INDIRECT($AA63 &amp; "!$AB$45"),"")</f>
        <v/>
      </c>
      <c r="R63" s="166" t="str" cm="1">
        <f t="array" aca="1" ref="R63" ca="1">IF(B63&lt;&gt;"",INDIRECT($AA63 &amp; "!$AF$45"),"")</f>
        <v/>
      </c>
      <c r="S63" s="166" t="str" cm="1">
        <f t="array" aca="1" ref="S63" ca="1">IF(B63&lt;&gt;"",INDIRECT($AA63 &amp; "!$AB$46"),"")</f>
        <v/>
      </c>
      <c r="T63" s="166" t="str" cm="1">
        <f t="array" aca="1" ref="T63" ca="1">IF(B63&lt;&gt;"",INDIRECT($AA63 &amp; "!$AF$46"),"")</f>
        <v/>
      </c>
      <c r="U63" s="166" t="str" cm="1">
        <f t="array" aca="1" ref="U63" ca="1">IF(B63&lt;&gt;"",INDIRECT($AA63 &amp; "!$AB$47"),"")</f>
        <v/>
      </c>
      <c r="V63" s="166" t="str" cm="1">
        <f t="array" aca="1" ref="V63" ca="1">IF(B63&lt;&gt;"",INDIRECT($AA63 &amp; "!$AF$47"),"")</f>
        <v/>
      </c>
      <c r="W63" s="167" t="str" cm="1">
        <f t="array" aca="1" ref="W63" ca="1">IF(B63&lt;&gt;"",INDIRECT($AA63 &amp; "!$AF$54"),"")</f>
        <v/>
      </c>
      <c r="X63" s="111"/>
      <c r="Z63" s="147"/>
      <c r="AA63" s="153" t="str">
        <f t="shared" si="1"/>
        <v/>
      </c>
      <c r="AB63" s="154"/>
      <c r="AC63" s="154"/>
      <c r="AD63" s="154"/>
      <c r="AE63" s="154"/>
      <c r="AF63" s="154"/>
      <c r="AG63" s="155"/>
      <c r="AR63" s="138"/>
    </row>
    <row r="64" spans="1:44" ht="22" customHeight="1" x14ac:dyDescent="0.3">
      <c r="A64" s="110"/>
      <c r="B64" s="164" t="str" cm="1">
        <f t="array" aca="1" ref="B64" ca="1">IF(AA64&lt;&gt;"",INDIRECT($AA64 &amp; "!$D$11"),"")</f>
        <v/>
      </c>
      <c r="C64" s="165" t="str" cm="1">
        <f t="array" aca="1" ref="C64" ca="1">IF(B64&lt;&gt;"",INDIRECT($AA64 &amp; "!$U$12"),"")</f>
        <v/>
      </c>
      <c r="D64" s="164" t="str" cm="1">
        <f t="array" aca="1" ref="D64" ca="1">IF(B64&lt;&gt;"",INDIRECT($AA64 &amp; "!AA$11"),"")</f>
        <v/>
      </c>
      <c r="E64" s="164" t="str" cm="1">
        <f t="array" aca="1" ref="E64" ca="1">IF(B64&lt;&gt;"",INDIRECT($AA64 &amp; "!$AB$11"),"")</f>
        <v/>
      </c>
      <c r="F64" s="166" t="str" cm="1">
        <f t="array" aca="1" ref="F64" ca="1">IF(B64&lt;&gt;"",INDIRECT($AA64 &amp; "!$AG$11"),"")</f>
        <v/>
      </c>
      <c r="G64" s="166" t="str" cm="1">
        <f t="array" aca="1" ref="G64" ca="1">IF(B64&lt;&gt;"",INDIRECT($AA64 &amp; "!$AB$40"),"")</f>
        <v/>
      </c>
      <c r="H64" s="166" t="str" cm="1">
        <f t="array" aca="1" ref="H64" ca="1">IF(B64&lt;&gt;"",INDIRECT($AA64 &amp; "!$AF$40"),"")</f>
        <v/>
      </c>
      <c r="I64" s="166" t="str" cm="1">
        <f t="array" aca="1" ref="I64" ca="1">IF(B64&lt;&gt;"",INDIRECT($AA64 &amp; "!$AB$41"),"")</f>
        <v/>
      </c>
      <c r="J64" s="166" t="str" cm="1">
        <f t="array" aca="1" ref="J64" ca="1">IF(B64&lt;&gt;"",INDIRECT($AA64 &amp; "!$AF$41"),"")</f>
        <v/>
      </c>
      <c r="K64" s="166" t="str" cm="1">
        <f t="array" aca="1" ref="K64" ca="1">IF(B64&lt;&gt;"",INDIRECT($AA64 &amp; "!$AB$42"),"")</f>
        <v/>
      </c>
      <c r="L64" s="166" t="str" cm="1">
        <f t="array" aca="1" ref="L64" ca="1">IF(B64&lt;&gt;"",INDIRECT($AA64 &amp; "!$AF$42"),"")</f>
        <v/>
      </c>
      <c r="M64" s="166" t="str" cm="1">
        <f t="array" aca="1" ref="M64" ca="1">IF(B64&lt;&gt;"",INDIRECT($AA64 &amp; "!$AB$43"),"")</f>
        <v/>
      </c>
      <c r="N64" s="166" t="str" cm="1">
        <f t="array" aca="1" ref="N64" ca="1">IF(B64&lt;&gt;"",INDIRECT($AA64 &amp; "!$AF$43"),"")</f>
        <v/>
      </c>
      <c r="O64" s="166" t="str" cm="1">
        <f t="array" aca="1" ref="O64" ca="1">IF(B64&lt;&gt;"",INDIRECT($AA64 &amp; "!$AB$44"),"")</f>
        <v/>
      </c>
      <c r="P64" s="166" t="str" cm="1">
        <f t="array" aca="1" ref="P64" ca="1">IF(B64&lt;&gt;"",INDIRECT($AA64 &amp; "!$AF$44"),"")</f>
        <v/>
      </c>
      <c r="Q64" s="166" t="str" cm="1">
        <f t="array" aca="1" ref="Q64" ca="1">IF(B64&lt;&gt;"",INDIRECT($AA64 &amp; "!$AB$45"),"")</f>
        <v/>
      </c>
      <c r="R64" s="166" t="str" cm="1">
        <f t="array" aca="1" ref="R64" ca="1">IF(B64&lt;&gt;"",INDIRECT($AA64 &amp; "!$AF$45"),"")</f>
        <v/>
      </c>
      <c r="S64" s="166" t="str" cm="1">
        <f t="array" aca="1" ref="S64" ca="1">IF(B64&lt;&gt;"",INDIRECT($AA64 &amp; "!$AB$46"),"")</f>
        <v/>
      </c>
      <c r="T64" s="166" t="str" cm="1">
        <f t="array" aca="1" ref="T64" ca="1">IF(B64&lt;&gt;"",INDIRECT($AA64 &amp; "!$AF$46"),"")</f>
        <v/>
      </c>
      <c r="U64" s="166" t="str" cm="1">
        <f t="array" aca="1" ref="U64" ca="1">IF(B64&lt;&gt;"",INDIRECT($AA64 &amp; "!$AB$47"),"")</f>
        <v/>
      </c>
      <c r="V64" s="166" t="str" cm="1">
        <f t="array" aca="1" ref="V64" ca="1">IF(B64&lt;&gt;"",INDIRECT($AA64 &amp; "!$AF$47"),"")</f>
        <v/>
      </c>
      <c r="W64" s="167" t="str" cm="1">
        <f t="array" aca="1" ref="W64" ca="1">IF(B64&lt;&gt;"",INDIRECT($AA64 &amp; "!$AF$54"),"")</f>
        <v/>
      </c>
      <c r="X64" s="111"/>
      <c r="Z64" s="147"/>
      <c r="AA64" s="153" t="str">
        <f t="shared" si="1"/>
        <v/>
      </c>
      <c r="AB64" s="154"/>
      <c r="AC64" s="154"/>
      <c r="AD64" s="154"/>
      <c r="AE64" s="154"/>
      <c r="AF64" s="154"/>
      <c r="AG64" s="155"/>
      <c r="AR64" s="138"/>
    </row>
    <row r="65" spans="1:1744" ht="22" customHeight="1" x14ac:dyDescent="0.3">
      <c r="A65" s="110"/>
      <c r="B65" s="164" t="str" cm="1">
        <f t="array" aca="1" ref="B65" ca="1">IF(AA65&lt;&gt;"",INDIRECT($AA65 &amp; "!$D$11"),"")</f>
        <v/>
      </c>
      <c r="C65" s="165" t="str" cm="1">
        <f t="array" aca="1" ref="C65" ca="1">IF(B65&lt;&gt;"",INDIRECT($AA65 &amp; "!$U$12"),"")</f>
        <v/>
      </c>
      <c r="D65" s="164" t="str" cm="1">
        <f t="array" aca="1" ref="D65" ca="1">IF(B65&lt;&gt;"",INDIRECT($AA65 &amp; "!AA$11"),"")</f>
        <v/>
      </c>
      <c r="E65" s="164" t="str" cm="1">
        <f t="array" aca="1" ref="E65" ca="1">IF(B65&lt;&gt;"",INDIRECT($AA65 &amp; "!$AB$11"),"")</f>
        <v/>
      </c>
      <c r="F65" s="166" t="str" cm="1">
        <f t="array" aca="1" ref="F65" ca="1">IF(B65&lt;&gt;"",INDIRECT($AA65 &amp; "!$AG$11"),"")</f>
        <v/>
      </c>
      <c r="G65" s="166" t="str" cm="1">
        <f t="array" aca="1" ref="G65" ca="1">IF(B65&lt;&gt;"",INDIRECT($AA65 &amp; "!$AB$40"),"")</f>
        <v/>
      </c>
      <c r="H65" s="166" t="str" cm="1">
        <f t="array" aca="1" ref="H65" ca="1">IF(B65&lt;&gt;"",INDIRECT($AA65 &amp; "!$AF$40"),"")</f>
        <v/>
      </c>
      <c r="I65" s="166" t="str" cm="1">
        <f t="array" aca="1" ref="I65" ca="1">IF(B65&lt;&gt;"",INDIRECT($AA65 &amp; "!$AB$41"),"")</f>
        <v/>
      </c>
      <c r="J65" s="166" t="str" cm="1">
        <f t="array" aca="1" ref="J65" ca="1">IF(B65&lt;&gt;"",INDIRECT($AA65 &amp; "!$AF$41"),"")</f>
        <v/>
      </c>
      <c r="K65" s="166" t="str" cm="1">
        <f t="array" aca="1" ref="K65" ca="1">IF(B65&lt;&gt;"",INDIRECT($AA65 &amp; "!$AB$42"),"")</f>
        <v/>
      </c>
      <c r="L65" s="166" t="str" cm="1">
        <f t="array" aca="1" ref="L65" ca="1">IF(B65&lt;&gt;"",INDIRECT($AA65 &amp; "!$AF$42"),"")</f>
        <v/>
      </c>
      <c r="M65" s="166" t="str" cm="1">
        <f t="array" aca="1" ref="M65" ca="1">IF(B65&lt;&gt;"",INDIRECT($AA65 &amp; "!$AB$43"),"")</f>
        <v/>
      </c>
      <c r="N65" s="166" t="str" cm="1">
        <f t="array" aca="1" ref="N65" ca="1">IF(B65&lt;&gt;"",INDIRECT($AA65 &amp; "!$AF$43"),"")</f>
        <v/>
      </c>
      <c r="O65" s="166" t="str" cm="1">
        <f t="array" aca="1" ref="O65" ca="1">IF(B65&lt;&gt;"",INDIRECT($AA65 &amp; "!$AB$44"),"")</f>
        <v/>
      </c>
      <c r="P65" s="166" t="str" cm="1">
        <f t="array" aca="1" ref="P65" ca="1">IF(B65&lt;&gt;"",INDIRECT($AA65 &amp; "!$AF$44"),"")</f>
        <v/>
      </c>
      <c r="Q65" s="166" t="str" cm="1">
        <f t="array" aca="1" ref="Q65" ca="1">IF(B65&lt;&gt;"",INDIRECT($AA65 &amp; "!$AB$45"),"")</f>
        <v/>
      </c>
      <c r="R65" s="166" t="str" cm="1">
        <f t="array" aca="1" ref="R65" ca="1">IF(B65&lt;&gt;"",INDIRECT($AA65 &amp; "!$AF$45"),"")</f>
        <v/>
      </c>
      <c r="S65" s="166" t="str" cm="1">
        <f t="array" aca="1" ref="S65" ca="1">IF(B65&lt;&gt;"",INDIRECT($AA65 &amp; "!$AB$46"),"")</f>
        <v/>
      </c>
      <c r="T65" s="166" t="str" cm="1">
        <f t="array" aca="1" ref="T65" ca="1">IF(B65&lt;&gt;"",INDIRECT($AA65 &amp; "!$AF$46"),"")</f>
        <v/>
      </c>
      <c r="U65" s="166" t="str" cm="1">
        <f t="array" aca="1" ref="U65" ca="1">IF(B65&lt;&gt;"",INDIRECT($AA65 &amp; "!$AB$47"),"")</f>
        <v/>
      </c>
      <c r="V65" s="166" t="str" cm="1">
        <f t="array" aca="1" ref="V65" ca="1">IF(B65&lt;&gt;"",INDIRECT($AA65 &amp; "!$AF$47"),"")</f>
        <v/>
      </c>
      <c r="W65" s="167" t="str" cm="1">
        <f t="array" aca="1" ref="W65" ca="1">IF(B65&lt;&gt;"",INDIRECT($AA65 &amp; "!$AF$54"),"")</f>
        <v/>
      </c>
      <c r="X65" s="111"/>
      <c r="Z65" s="147"/>
      <c r="AA65" s="153" t="str">
        <f t="shared" si="1"/>
        <v/>
      </c>
      <c r="AB65" s="154"/>
      <c r="AC65" s="154"/>
      <c r="AD65" s="154"/>
      <c r="AE65" s="154"/>
      <c r="AF65" s="154"/>
      <c r="AG65" s="155"/>
      <c r="AR65" s="138"/>
    </row>
    <row r="66" spans="1:1744" ht="22" customHeight="1" x14ac:dyDescent="0.3">
      <c r="A66" s="110"/>
      <c r="B66" s="164" t="str" cm="1">
        <f t="array" aca="1" ref="B66" ca="1">IF(AA66&lt;&gt;"",INDIRECT($AA66 &amp; "!$D$11"),"")</f>
        <v/>
      </c>
      <c r="C66" s="165" t="str" cm="1">
        <f t="array" aca="1" ref="C66" ca="1">IF(B66&lt;&gt;"",INDIRECT($AA66 &amp; "!$U$12"),"")</f>
        <v/>
      </c>
      <c r="D66" s="164" t="str" cm="1">
        <f t="array" aca="1" ref="D66" ca="1">IF(B66&lt;&gt;"",INDIRECT($AA66 &amp; "!AA$11"),"")</f>
        <v/>
      </c>
      <c r="E66" s="164" t="str" cm="1">
        <f t="array" aca="1" ref="E66" ca="1">IF(B66&lt;&gt;"",INDIRECT($AA66 &amp; "!$AB$11"),"")</f>
        <v/>
      </c>
      <c r="F66" s="166" t="str" cm="1">
        <f t="array" aca="1" ref="F66" ca="1">IF(B66&lt;&gt;"",INDIRECT($AA66 &amp; "!$AG$11"),"")</f>
        <v/>
      </c>
      <c r="G66" s="166" t="str" cm="1">
        <f t="array" aca="1" ref="G66" ca="1">IF(B66&lt;&gt;"",INDIRECT($AA66 &amp; "!$AB$40"),"")</f>
        <v/>
      </c>
      <c r="H66" s="166" t="str" cm="1">
        <f t="array" aca="1" ref="H66" ca="1">IF(B66&lt;&gt;"",INDIRECT($AA66 &amp; "!$AF$40"),"")</f>
        <v/>
      </c>
      <c r="I66" s="166" t="str" cm="1">
        <f t="array" aca="1" ref="I66" ca="1">IF(B66&lt;&gt;"",INDIRECT($AA66 &amp; "!$AB$41"),"")</f>
        <v/>
      </c>
      <c r="J66" s="166" t="str" cm="1">
        <f t="array" aca="1" ref="J66" ca="1">IF(B66&lt;&gt;"",INDIRECT($AA66 &amp; "!$AF$41"),"")</f>
        <v/>
      </c>
      <c r="K66" s="166" t="str" cm="1">
        <f t="array" aca="1" ref="K66" ca="1">IF(B66&lt;&gt;"",INDIRECT($AA66 &amp; "!$AB$42"),"")</f>
        <v/>
      </c>
      <c r="L66" s="166" t="str" cm="1">
        <f t="array" aca="1" ref="L66" ca="1">IF(B66&lt;&gt;"",INDIRECT($AA66 &amp; "!$AF$42"),"")</f>
        <v/>
      </c>
      <c r="M66" s="166" t="str" cm="1">
        <f t="array" aca="1" ref="M66" ca="1">IF(B66&lt;&gt;"",INDIRECT($AA66 &amp; "!$AB$43"),"")</f>
        <v/>
      </c>
      <c r="N66" s="166" t="str" cm="1">
        <f t="array" aca="1" ref="N66" ca="1">IF(B66&lt;&gt;"",INDIRECT($AA66 &amp; "!$AF$43"),"")</f>
        <v/>
      </c>
      <c r="O66" s="166" t="str" cm="1">
        <f t="array" aca="1" ref="O66" ca="1">IF(B66&lt;&gt;"",INDIRECT($AA66 &amp; "!$AB$44"),"")</f>
        <v/>
      </c>
      <c r="P66" s="166" t="str" cm="1">
        <f t="array" aca="1" ref="P66" ca="1">IF(B66&lt;&gt;"",INDIRECT($AA66 &amp; "!$AF$44"),"")</f>
        <v/>
      </c>
      <c r="Q66" s="166" t="str" cm="1">
        <f t="array" aca="1" ref="Q66" ca="1">IF(B66&lt;&gt;"",INDIRECT($AA66 &amp; "!$AB$45"),"")</f>
        <v/>
      </c>
      <c r="R66" s="166" t="str" cm="1">
        <f t="array" aca="1" ref="R66" ca="1">IF(B66&lt;&gt;"",INDIRECT($AA66 &amp; "!$AF$45"),"")</f>
        <v/>
      </c>
      <c r="S66" s="166" t="str" cm="1">
        <f t="array" aca="1" ref="S66" ca="1">IF(B66&lt;&gt;"",INDIRECT($AA66 &amp; "!$AB$46"),"")</f>
        <v/>
      </c>
      <c r="T66" s="166" t="str" cm="1">
        <f t="array" aca="1" ref="T66" ca="1">IF(B66&lt;&gt;"",INDIRECT($AA66 &amp; "!$AF$46"),"")</f>
        <v/>
      </c>
      <c r="U66" s="166" t="str" cm="1">
        <f t="array" aca="1" ref="U66" ca="1">IF(B66&lt;&gt;"",INDIRECT($AA66 &amp; "!$AB$47"),"")</f>
        <v/>
      </c>
      <c r="V66" s="166" t="str" cm="1">
        <f t="array" aca="1" ref="V66" ca="1">IF(B66&lt;&gt;"",INDIRECT($AA66 &amp; "!$AF$47"),"")</f>
        <v/>
      </c>
      <c r="W66" s="167" t="str" cm="1">
        <f t="array" aca="1" ref="W66" ca="1">IF(B66&lt;&gt;"",INDIRECT($AA66 &amp; "!$AF$54"),"")</f>
        <v/>
      </c>
      <c r="X66" s="111"/>
      <c r="Z66" s="147"/>
      <c r="AA66" s="153" t="str">
        <f t="shared" si="1"/>
        <v/>
      </c>
      <c r="AB66" s="154"/>
      <c r="AC66" s="154"/>
      <c r="AD66" s="154"/>
      <c r="AE66" s="154"/>
      <c r="AF66" s="154"/>
      <c r="AG66" s="155"/>
      <c r="AR66" s="138"/>
    </row>
    <row r="67" spans="1:1744" ht="22" customHeight="1" x14ac:dyDescent="0.3">
      <c r="A67" s="110"/>
      <c r="B67" s="164" t="str" cm="1">
        <f t="array" aca="1" ref="B67" ca="1">IF(AA67&lt;&gt;"",INDIRECT($AA67 &amp; "!$D$11"),"")</f>
        <v/>
      </c>
      <c r="C67" s="165" t="str" cm="1">
        <f t="array" aca="1" ref="C67" ca="1">IF(B67&lt;&gt;"",INDIRECT($AA67 &amp; "!$U$12"),"")</f>
        <v/>
      </c>
      <c r="D67" s="164" t="str" cm="1">
        <f t="array" aca="1" ref="D67" ca="1">IF(B67&lt;&gt;"",INDIRECT($AA67 &amp; "!AA$11"),"")</f>
        <v/>
      </c>
      <c r="E67" s="164" t="str" cm="1">
        <f t="array" aca="1" ref="E67" ca="1">IF(B67&lt;&gt;"",INDIRECT($AA67 &amp; "!$AB$11"),"")</f>
        <v/>
      </c>
      <c r="F67" s="166" t="str" cm="1">
        <f t="array" aca="1" ref="F67" ca="1">IF(B67&lt;&gt;"",INDIRECT($AA67 &amp; "!$AG$11"),"")</f>
        <v/>
      </c>
      <c r="G67" s="166" t="str" cm="1">
        <f t="array" aca="1" ref="G67" ca="1">IF(B67&lt;&gt;"",INDIRECT($AA67 &amp; "!$AB$40"),"")</f>
        <v/>
      </c>
      <c r="H67" s="166" t="str" cm="1">
        <f t="array" aca="1" ref="H67" ca="1">IF(B67&lt;&gt;"",INDIRECT($AA67 &amp; "!$AF$40"),"")</f>
        <v/>
      </c>
      <c r="I67" s="166" t="str" cm="1">
        <f t="array" aca="1" ref="I67" ca="1">IF(B67&lt;&gt;"",INDIRECT($AA67 &amp; "!$AB$41"),"")</f>
        <v/>
      </c>
      <c r="J67" s="166" t="str" cm="1">
        <f t="array" aca="1" ref="J67" ca="1">IF(B67&lt;&gt;"",INDIRECT($AA67 &amp; "!$AF$41"),"")</f>
        <v/>
      </c>
      <c r="K67" s="166" t="str" cm="1">
        <f t="array" aca="1" ref="K67" ca="1">IF(B67&lt;&gt;"",INDIRECT($AA67 &amp; "!$AB$42"),"")</f>
        <v/>
      </c>
      <c r="L67" s="166" t="str" cm="1">
        <f t="array" aca="1" ref="L67" ca="1">IF(B67&lt;&gt;"",INDIRECT($AA67 &amp; "!$AF$42"),"")</f>
        <v/>
      </c>
      <c r="M67" s="166" t="str" cm="1">
        <f t="array" aca="1" ref="M67" ca="1">IF(B67&lt;&gt;"",INDIRECT($AA67 &amp; "!$AB$43"),"")</f>
        <v/>
      </c>
      <c r="N67" s="166" t="str" cm="1">
        <f t="array" aca="1" ref="N67" ca="1">IF(B67&lt;&gt;"",INDIRECT($AA67 &amp; "!$AF$43"),"")</f>
        <v/>
      </c>
      <c r="O67" s="166" t="str" cm="1">
        <f t="array" aca="1" ref="O67" ca="1">IF(B67&lt;&gt;"",INDIRECT($AA67 &amp; "!$AB$44"),"")</f>
        <v/>
      </c>
      <c r="P67" s="166" t="str" cm="1">
        <f t="array" aca="1" ref="P67" ca="1">IF(B67&lt;&gt;"",INDIRECT($AA67 &amp; "!$AF$44"),"")</f>
        <v/>
      </c>
      <c r="Q67" s="166" t="str" cm="1">
        <f t="array" aca="1" ref="Q67" ca="1">IF(B67&lt;&gt;"",INDIRECT($AA67 &amp; "!$AB$45"),"")</f>
        <v/>
      </c>
      <c r="R67" s="166" t="str" cm="1">
        <f t="array" aca="1" ref="R67" ca="1">IF(B67&lt;&gt;"",INDIRECT($AA67 &amp; "!$AF$45"),"")</f>
        <v/>
      </c>
      <c r="S67" s="166" t="str" cm="1">
        <f t="array" aca="1" ref="S67" ca="1">IF(B67&lt;&gt;"",INDIRECT($AA67 &amp; "!$AB$46"),"")</f>
        <v/>
      </c>
      <c r="T67" s="166" t="str" cm="1">
        <f t="array" aca="1" ref="T67" ca="1">IF(B67&lt;&gt;"",INDIRECT($AA67 &amp; "!$AF$46"),"")</f>
        <v/>
      </c>
      <c r="U67" s="166" t="str" cm="1">
        <f t="array" aca="1" ref="U67" ca="1">IF(B67&lt;&gt;"",INDIRECT($AA67 &amp; "!$AB$47"),"")</f>
        <v/>
      </c>
      <c r="V67" s="166" t="str" cm="1">
        <f t="array" aca="1" ref="V67" ca="1">IF(B67&lt;&gt;"",INDIRECT($AA67 &amp; "!$AF$47"),"")</f>
        <v/>
      </c>
      <c r="W67" s="167" t="str" cm="1">
        <f t="array" aca="1" ref="W67" ca="1">IF(B67&lt;&gt;"",INDIRECT($AA67 &amp; "!$AF$54"),"")</f>
        <v/>
      </c>
      <c r="X67" s="111"/>
      <c r="Z67" s="147"/>
      <c r="AA67" s="153" t="str">
        <f t="shared" si="1"/>
        <v/>
      </c>
      <c r="AB67" s="154"/>
      <c r="AC67" s="154"/>
      <c r="AD67" s="154"/>
      <c r="AE67" s="154"/>
      <c r="AF67" s="154"/>
      <c r="AG67" s="155"/>
      <c r="AR67" s="138"/>
    </row>
    <row r="68" spans="1:1744" ht="22" customHeight="1" x14ac:dyDescent="0.3">
      <c r="A68" s="110"/>
      <c r="B68" s="164" t="str" cm="1">
        <f t="array" aca="1" ref="B68" ca="1">IF(AA68&lt;&gt;"",INDIRECT($AA68 &amp; "!$D$11"),"")</f>
        <v/>
      </c>
      <c r="C68" s="165" t="str" cm="1">
        <f t="array" aca="1" ref="C68" ca="1">IF(B68&lt;&gt;"",INDIRECT($AA68 &amp; "!$U$12"),"")</f>
        <v/>
      </c>
      <c r="D68" s="164" t="str" cm="1">
        <f t="array" aca="1" ref="D68" ca="1">IF(B68&lt;&gt;"",INDIRECT($AA68 &amp; "!AA$11"),"")</f>
        <v/>
      </c>
      <c r="E68" s="164" t="str" cm="1">
        <f t="array" aca="1" ref="E68" ca="1">IF(B68&lt;&gt;"",INDIRECT($AA68 &amp; "!$AB$11"),"")</f>
        <v/>
      </c>
      <c r="F68" s="166" t="str" cm="1">
        <f t="array" aca="1" ref="F68" ca="1">IF(B68&lt;&gt;"",INDIRECT($AA68 &amp; "!$AG$11"),"")</f>
        <v/>
      </c>
      <c r="G68" s="166" t="str" cm="1">
        <f t="array" aca="1" ref="G68" ca="1">IF(B68&lt;&gt;"",INDIRECT($AA68 &amp; "!$AB$40"),"")</f>
        <v/>
      </c>
      <c r="H68" s="166" t="str" cm="1">
        <f t="array" aca="1" ref="H68" ca="1">IF(B68&lt;&gt;"",INDIRECT($AA68 &amp; "!$AF$40"),"")</f>
        <v/>
      </c>
      <c r="I68" s="166" t="str" cm="1">
        <f t="array" aca="1" ref="I68" ca="1">IF(B68&lt;&gt;"",INDIRECT($AA68 &amp; "!$AB$41"),"")</f>
        <v/>
      </c>
      <c r="J68" s="166" t="str" cm="1">
        <f t="array" aca="1" ref="J68" ca="1">IF(B68&lt;&gt;"",INDIRECT($AA68 &amp; "!$AF$41"),"")</f>
        <v/>
      </c>
      <c r="K68" s="166" t="str" cm="1">
        <f t="array" aca="1" ref="K68" ca="1">IF(B68&lt;&gt;"",INDIRECT($AA68 &amp; "!$AB$42"),"")</f>
        <v/>
      </c>
      <c r="L68" s="166" t="str" cm="1">
        <f t="array" aca="1" ref="L68" ca="1">IF(B68&lt;&gt;"",INDIRECT($AA68 &amp; "!$AF$42"),"")</f>
        <v/>
      </c>
      <c r="M68" s="166" t="str" cm="1">
        <f t="array" aca="1" ref="M68" ca="1">IF(B68&lt;&gt;"",INDIRECT($AA68 &amp; "!$AB$43"),"")</f>
        <v/>
      </c>
      <c r="N68" s="166" t="str" cm="1">
        <f t="array" aca="1" ref="N68" ca="1">IF(B68&lt;&gt;"",INDIRECT($AA68 &amp; "!$AF$43"),"")</f>
        <v/>
      </c>
      <c r="O68" s="166" t="str" cm="1">
        <f t="array" aca="1" ref="O68" ca="1">IF(B68&lt;&gt;"",INDIRECT($AA68 &amp; "!$AB$44"),"")</f>
        <v/>
      </c>
      <c r="P68" s="166" t="str" cm="1">
        <f t="array" aca="1" ref="P68" ca="1">IF(B68&lt;&gt;"",INDIRECT($AA68 &amp; "!$AF$44"),"")</f>
        <v/>
      </c>
      <c r="Q68" s="166" t="str" cm="1">
        <f t="array" aca="1" ref="Q68" ca="1">IF(B68&lt;&gt;"",INDIRECT($AA68 &amp; "!$AB$45"),"")</f>
        <v/>
      </c>
      <c r="R68" s="166" t="str" cm="1">
        <f t="array" aca="1" ref="R68" ca="1">IF(B68&lt;&gt;"",INDIRECT($AA68 &amp; "!$AF$45"),"")</f>
        <v/>
      </c>
      <c r="S68" s="166" t="str" cm="1">
        <f t="array" aca="1" ref="S68" ca="1">IF(B68&lt;&gt;"",INDIRECT($AA68 &amp; "!$AB$46"),"")</f>
        <v/>
      </c>
      <c r="T68" s="166" t="str" cm="1">
        <f t="array" aca="1" ref="T68" ca="1">IF(B68&lt;&gt;"",INDIRECT($AA68 &amp; "!$AF$46"),"")</f>
        <v/>
      </c>
      <c r="U68" s="166" t="str" cm="1">
        <f t="array" aca="1" ref="U68" ca="1">IF(B68&lt;&gt;"",INDIRECT($AA68 &amp; "!$AB$47"),"")</f>
        <v/>
      </c>
      <c r="V68" s="166" t="str" cm="1">
        <f t="array" aca="1" ref="V68" ca="1">IF(B68&lt;&gt;"",INDIRECT($AA68 &amp; "!$AF$47"),"")</f>
        <v/>
      </c>
      <c r="W68" s="167" t="str" cm="1">
        <f t="array" aca="1" ref="W68" ca="1">IF(B68&lt;&gt;"",INDIRECT($AA68 &amp; "!$AF$54"),"")</f>
        <v/>
      </c>
      <c r="X68" s="111"/>
      <c r="Z68" s="147"/>
      <c r="AA68" s="153" t="str">
        <f t="shared" si="1"/>
        <v/>
      </c>
      <c r="AB68" s="154"/>
      <c r="AC68" s="154"/>
      <c r="AD68" s="154"/>
      <c r="AE68" s="154"/>
      <c r="AF68" s="154"/>
      <c r="AG68" s="155"/>
      <c r="AR68" s="138"/>
    </row>
    <row r="69" spans="1:1744" ht="22" customHeight="1" x14ac:dyDescent="0.3">
      <c r="A69" s="110"/>
      <c r="B69" s="164" t="str" cm="1">
        <f t="array" aca="1" ref="B69" ca="1">IF(AA69&lt;&gt;"",INDIRECT($AA69 &amp; "!$D$11"),"")</f>
        <v/>
      </c>
      <c r="C69" s="165" t="str" cm="1">
        <f t="array" aca="1" ref="C69" ca="1">IF(B69&lt;&gt;"",INDIRECT($AA69 &amp; "!$U$12"),"")</f>
        <v/>
      </c>
      <c r="D69" s="164" t="str" cm="1">
        <f t="array" aca="1" ref="D69" ca="1">IF(B69&lt;&gt;"",INDIRECT($AA69 &amp; "!AA$11"),"")</f>
        <v/>
      </c>
      <c r="E69" s="164" t="str" cm="1">
        <f t="array" aca="1" ref="E69" ca="1">IF(B69&lt;&gt;"",INDIRECT($AA69 &amp; "!$AB$11"),"")</f>
        <v/>
      </c>
      <c r="F69" s="166" t="str" cm="1">
        <f t="array" aca="1" ref="F69" ca="1">IF(B69&lt;&gt;"",INDIRECT($AA69 &amp; "!$AG$11"),"")</f>
        <v/>
      </c>
      <c r="G69" s="166" t="str" cm="1">
        <f t="array" aca="1" ref="G69" ca="1">IF(B69&lt;&gt;"",INDIRECT($AA69 &amp; "!$AB$40"),"")</f>
        <v/>
      </c>
      <c r="H69" s="166" t="str" cm="1">
        <f t="array" aca="1" ref="H69" ca="1">IF(B69&lt;&gt;"",INDIRECT($AA69 &amp; "!$AF$40"),"")</f>
        <v/>
      </c>
      <c r="I69" s="166" t="str" cm="1">
        <f t="array" aca="1" ref="I69" ca="1">IF(B69&lt;&gt;"",INDIRECT($AA69 &amp; "!$AB$41"),"")</f>
        <v/>
      </c>
      <c r="J69" s="166" t="str" cm="1">
        <f t="array" aca="1" ref="J69" ca="1">IF(B69&lt;&gt;"",INDIRECT($AA69 &amp; "!$AF$41"),"")</f>
        <v/>
      </c>
      <c r="K69" s="166" t="str" cm="1">
        <f t="array" aca="1" ref="K69" ca="1">IF(B69&lt;&gt;"",INDIRECT($AA69 &amp; "!$AB$42"),"")</f>
        <v/>
      </c>
      <c r="L69" s="166" t="str" cm="1">
        <f t="array" aca="1" ref="L69" ca="1">IF(B69&lt;&gt;"",INDIRECT($AA69 &amp; "!$AF$42"),"")</f>
        <v/>
      </c>
      <c r="M69" s="166" t="str" cm="1">
        <f t="array" aca="1" ref="M69" ca="1">IF(B69&lt;&gt;"",INDIRECT($AA69 &amp; "!$AB$43"),"")</f>
        <v/>
      </c>
      <c r="N69" s="166" t="str" cm="1">
        <f t="array" aca="1" ref="N69" ca="1">IF(B69&lt;&gt;"",INDIRECT($AA69 &amp; "!$AF$43"),"")</f>
        <v/>
      </c>
      <c r="O69" s="166" t="str" cm="1">
        <f t="array" aca="1" ref="O69" ca="1">IF(B69&lt;&gt;"",INDIRECT($AA69 &amp; "!$AB$44"),"")</f>
        <v/>
      </c>
      <c r="P69" s="166" t="str" cm="1">
        <f t="array" aca="1" ref="P69" ca="1">IF(B69&lt;&gt;"",INDIRECT($AA69 &amp; "!$AF$44"),"")</f>
        <v/>
      </c>
      <c r="Q69" s="166" t="str" cm="1">
        <f t="array" aca="1" ref="Q69" ca="1">IF(B69&lt;&gt;"",INDIRECT($AA69 &amp; "!$AB$45"),"")</f>
        <v/>
      </c>
      <c r="R69" s="166" t="str" cm="1">
        <f t="array" aca="1" ref="R69" ca="1">IF(B69&lt;&gt;"",INDIRECT($AA69 &amp; "!$AF$45"),"")</f>
        <v/>
      </c>
      <c r="S69" s="166" t="str" cm="1">
        <f t="array" aca="1" ref="S69" ca="1">IF(B69&lt;&gt;"",INDIRECT($AA69 &amp; "!$AB$46"),"")</f>
        <v/>
      </c>
      <c r="T69" s="166" t="str" cm="1">
        <f t="array" aca="1" ref="T69" ca="1">IF(B69&lt;&gt;"",INDIRECT($AA69 &amp; "!$AF$46"),"")</f>
        <v/>
      </c>
      <c r="U69" s="166" t="str" cm="1">
        <f t="array" aca="1" ref="U69" ca="1">IF(B69&lt;&gt;"",INDIRECT($AA69 &amp; "!$AB$47"),"")</f>
        <v/>
      </c>
      <c r="V69" s="166" t="str" cm="1">
        <f t="array" aca="1" ref="V69" ca="1">IF(B69&lt;&gt;"",INDIRECT($AA69 &amp; "!$AF$47"),"")</f>
        <v/>
      </c>
      <c r="W69" s="167" t="str" cm="1">
        <f t="array" aca="1" ref="W69" ca="1">IF(B69&lt;&gt;"",INDIRECT($AA69 &amp; "!$AF$54"),"")</f>
        <v/>
      </c>
      <c r="X69" s="111"/>
      <c r="Z69" s="147"/>
      <c r="AA69" s="153" t="str">
        <f t="shared" si="1"/>
        <v/>
      </c>
      <c r="AB69" s="154"/>
      <c r="AC69" s="154"/>
      <c r="AD69" s="154"/>
      <c r="AE69" s="154"/>
      <c r="AF69" s="154"/>
      <c r="AG69" s="155"/>
      <c r="AR69" s="138"/>
    </row>
    <row r="70" spans="1:1744" ht="22" customHeight="1" x14ac:dyDescent="0.3">
      <c r="A70" s="110"/>
      <c r="B70" s="164" t="str" cm="1">
        <f t="array" aca="1" ref="B70" ca="1">IF(AA70&lt;&gt;"",INDIRECT($AA70 &amp; "!$D$11"),"")</f>
        <v/>
      </c>
      <c r="C70" s="165" t="str" cm="1">
        <f t="array" aca="1" ref="C70" ca="1">IF(B70&lt;&gt;"",INDIRECT($AA70 &amp; "!$U$12"),"")</f>
        <v/>
      </c>
      <c r="D70" s="164" t="str" cm="1">
        <f t="array" aca="1" ref="D70" ca="1">IF(B70&lt;&gt;"",INDIRECT($AA70 &amp; "!AA$11"),"")</f>
        <v/>
      </c>
      <c r="E70" s="164" t="str" cm="1">
        <f t="array" aca="1" ref="E70" ca="1">IF(B70&lt;&gt;"",INDIRECT($AA70 &amp; "!$AB$11"),"")</f>
        <v/>
      </c>
      <c r="F70" s="166" t="str" cm="1">
        <f t="array" aca="1" ref="F70" ca="1">IF(B70&lt;&gt;"",INDIRECT($AA70 &amp; "!$AG$11"),"")</f>
        <v/>
      </c>
      <c r="G70" s="166" t="str" cm="1">
        <f t="array" aca="1" ref="G70" ca="1">IF(B70&lt;&gt;"",INDIRECT($AA70 &amp; "!$AB$40"),"")</f>
        <v/>
      </c>
      <c r="H70" s="166" t="str" cm="1">
        <f t="array" aca="1" ref="H70" ca="1">IF(B70&lt;&gt;"",INDIRECT($AA70 &amp; "!$AF$40"),"")</f>
        <v/>
      </c>
      <c r="I70" s="166" t="str" cm="1">
        <f t="array" aca="1" ref="I70" ca="1">IF(B70&lt;&gt;"",INDIRECT($AA70 &amp; "!$AB$41"),"")</f>
        <v/>
      </c>
      <c r="J70" s="166" t="str" cm="1">
        <f t="array" aca="1" ref="J70" ca="1">IF(B70&lt;&gt;"",INDIRECT($AA70 &amp; "!$AF$41"),"")</f>
        <v/>
      </c>
      <c r="K70" s="166" t="str" cm="1">
        <f t="array" aca="1" ref="K70" ca="1">IF(B70&lt;&gt;"",INDIRECT($AA70 &amp; "!$AB$42"),"")</f>
        <v/>
      </c>
      <c r="L70" s="166" t="str" cm="1">
        <f t="array" aca="1" ref="L70" ca="1">IF(B70&lt;&gt;"",INDIRECT($AA70 &amp; "!$AF$42"),"")</f>
        <v/>
      </c>
      <c r="M70" s="166" t="str" cm="1">
        <f t="array" aca="1" ref="M70" ca="1">IF(B70&lt;&gt;"",INDIRECT($AA70 &amp; "!$AB$43"),"")</f>
        <v/>
      </c>
      <c r="N70" s="166" t="str" cm="1">
        <f t="array" aca="1" ref="N70" ca="1">IF(B70&lt;&gt;"",INDIRECT($AA70 &amp; "!$AF$43"),"")</f>
        <v/>
      </c>
      <c r="O70" s="166" t="str" cm="1">
        <f t="array" aca="1" ref="O70" ca="1">IF(B70&lt;&gt;"",INDIRECT($AA70 &amp; "!$AB$44"),"")</f>
        <v/>
      </c>
      <c r="P70" s="166" t="str" cm="1">
        <f t="array" aca="1" ref="P70" ca="1">IF(B70&lt;&gt;"",INDIRECT($AA70 &amp; "!$AF$44"),"")</f>
        <v/>
      </c>
      <c r="Q70" s="166" t="str" cm="1">
        <f t="array" aca="1" ref="Q70" ca="1">IF(B70&lt;&gt;"",INDIRECT($AA70 &amp; "!$AB$45"),"")</f>
        <v/>
      </c>
      <c r="R70" s="166" t="str" cm="1">
        <f t="array" aca="1" ref="R70" ca="1">IF(B70&lt;&gt;"",INDIRECT($AA70 &amp; "!$AF$45"),"")</f>
        <v/>
      </c>
      <c r="S70" s="166" t="str" cm="1">
        <f t="array" aca="1" ref="S70" ca="1">IF(B70&lt;&gt;"",INDIRECT($AA70 &amp; "!$AB$46"),"")</f>
        <v/>
      </c>
      <c r="T70" s="166" t="str" cm="1">
        <f t="array" aca="1" ref="T70" ca="1">IF(B70&lt;&gt;"",INDIRECT($AA70 &amp; "!$AF$46"),"")</f>
        <v/>
      </c>
      <c r="U70" s="166" t="str" cm="1">
        <f t="array" aca="1" ref="U70" ca="1">IF(B70&lt;&gt;"",INDIRECT($AA70 &amp; "!$AB$47"),"")</f>
        <v/>
      </c>
      <c r="V70" s="166" t="str" cm="1">
        <f t="array" aca="1" ref="V70" ca="1">IF(B70&lt;&gt;"",INDIRECT($AA70 &amp; "!$AF$47"),"")</f>
        <v/>
      </c>
      <c r="W70" s="167" t="str" cm="1">
        <f t="array" aca="1" ref="W70" ca="1">IF(B70&lt;&gt;"",INDIRECT($AA70 &amp; "!$AF$54"),"")</f>
        <v/>
      </c>
      <c r="X70" s="111"/>
      <c r="Z70" s="147"/>
      <c r="AA70" s="153" t="str">
        <f t="shared" si="1"/>
        <v/>
      </c>
      <c r="AB70" s="154"/>
      <c r="AC70" s="154"/>
      <c r="AD70" s="154"/>
      <c r="AE70" s="154"/>
      <c r="AF70" s="154"/>
      <c r="AG70" s="155"/>
      <c r="AR70" s="138"/>
    </row>
    <row r="71" spans="1:1744" ht="22" customHeight="1" x14ac:dyDescent="0.3">
      <c r="A71" s="110"/>
      <c r="B71" s="164" t="str" cm="1">
        <f t="array" aca="1" ref="B71" ca="1">IF(AA71&lt;&gt;"",INDIRECT($AA71 &amp; "!$D$11"),"")</f>
        <v/>
      </c>
      <c r="C71" s="165" t="str" cm="1">
        <f t="array" aca="1" ref="C71" ca="1">IF(B71&lt;&gt;"",INDIRECT($AA71 &amp; "!$U$12"),"")</f>
        <v/>
      </c>
      <c r="D71" s="164" t="str" cm="1">
        <f t="array" aca="1" ref="D71" ca="1">IF(B71&lt;&gt;"",INDIRECT($AA71 &amp; "!AA$11"),"")</f>
        <v/>
      </c>
      <c r="E71" s="164" t="str" cm="1">
        <f t="array" aca="1" ref="E71" ca="1">IF(B71&lt;&gt;"",INDIRECT($AA71 &amp; "!$AB$11"),"")</f>
        <v/>
      </c>
      <c r="F71" s="166" t="str" cm="1">
        <f t="array" aca="1" ref="F71" ca="1">IF(B71&lt;&gt;"",INDIRECT($AA71 &amp; "!$AG$11"),"")</f>
        <v/>
      </c>
      <c r="G71" s="166" t="str" cm="1">
        <f t="array" aca="1" ref="G71" ca="1">IF(B71&lt;&gt;"",INDIRECT($AA71 &amp; "!$AB$40"),"")</f>
        <v/>
      </c>
      <c r="H71" s="166" t="str" cm="1">
        <f t="array" aca="1" ref="H71" ca="1">IF(B71&lt;&gt;"",INDIRECT($AA71 &amp; "!$AF$40"),"")</f>
        <v/>
      </c>
      <c r="I71" s="166" t="str" cm="1">
        <f t="array" aca="1" ref="I71" ca="1">IF(B71&lt;&gt;"",INDIRECT($AA71 &amp; "!$AB$41"),"")</f>
        <v/>
      </c>
      <c r="J71" s="166" t="str" cm="1">
        <f t="array" aca="1" ref="J71" ca="1">IF(B71&lt;&gt;"",INDIRECT($AA71 &amp; "!$AF$41"),"")</f>
        <v/>
      </c>
      <c r="K71" s="166" t="str" cm="1">
        <f t="array" aca="1" ref="K71" ca="1">IF(B71&lt;&gt;"",INDIRECT($AA71 &amp; "!$AB$42"),"")</f>
        <v/>
      </c>
      <c r="L71" s="166" t="str" cm="1">
        <f t="array" aca="1" ref="L71" ca="1">IF(B71&lt;&gt;"",INDIRECT($AA71 &amp; "!$AF$42"),"")</f>
        <v/>
      </c>
      <c r="M71" s="166" t="str" cm="1">
        <f t="array" aca="1" ref="M71" ca="1">IF(B71&lt;&gt;"",INDIRECT($AA71 &amp; "!$AB$43"),"")</f>
        <v/>
      </c>
      <c r="N71" s="166" t="str" cm="1">
        <f t="array" aca="1" ref="N71" ca="1">IF(B71&lt;&gt;"",INDIRECT($AA71 &amp; "!$AF$43"),"")</f>
        <v/>
      </c>
      <c r="O71" s="166" t="str" cm="1">
        <f t="array" aca="1" ref="O71" ca="1">IF(B71&lt;&gt;"",INDIRECT($AA71 &amp; "!$AB$44"),"")</f>
        <v/>
      </c>
      <c r="P71" s="166" t="str" cm="1">
        <f t="array" aca="1" ref="P71" ca="1">IF(B71&lt;&gt;"",INDIRECT($AA71 &amp; "!$AF$44"),"")</f>
        <v/>
      </c>
      <c r="Q71" s="166" t="str" cm="1">
        <f t="array" aca="1" ref="Q71" ca="1">IF(B71&lt;&gt;"",INDIRECT($AA71 &amp; "!$AB$45"),"")</f>
        <v/>
      </c>
      <c r="R71" s="166" t="str" cm="1">
        <f t="array" aca="1" ref="R71" ca="1">IF(B71&lt;&gt;"",INDIRECT($AA71 &amp; "!$AF$45"),"")</f>
        <v/>
      </c>
      <c r="S71" s="166" t="str" cm="1">
        <f t="array" aca="1" ref="S71" ca="1">IF(B71&lt;&gt;"",INDIRECT($AA71 &amp; "!$AB$46"),"")</f>
        <v/>
      </c>
      <c r="T71" s="166" t="str" cm="1">
        <f t="array" aca="1" ref="T71" ca="1">IF(B71&lt;&gt;"",INDIRECT($AA71 &amp; "!$AF$46"),"")</f>
        <v/>
      </c>
      <c r="U71" s="166" t="str" cm="1">
        <f t="array" aca="1" ref="U71" ca="1">IF(B71&lt;&gt;"",INDIRECT($AA71 &amp; "!$AB$47"),"")</f>
        <v/>
      </c>
      <c r="V71" s="166" t="str" cm="1">
        <f t="array" aca="1" ref="V71" ca="1">IF(B71&lt;&gt;"",INDIRECT($AA71 &amp; "!$AF$47"),"")</f>
        <v/>
      </c>
      <c r="W71" s="167" t="str" cm="1">
        <f t="array" aca="1" ref="W71" ca="1">IF(B71&lt;&gt;"",INDIRECT($AA71 &amp; "!$AF$54"),"")</f>
        <v/>
      </c>
      <c r="X71" s="111"/>
      <c r="Z71" s="147"/>
      <c r="AA71" s="153" t="str">
        <f t="shared" si="1"/>
        <v/>
      </c>
      <c r="AB71" s="154"/>
      <c r="AC71" s="154"/>
      <c r="AD71" s="154"/>
      <c r="AE71" s="154"/>
      <c r="AF71" s="154"/>
      <c r="AG71" s="155"/>
      <c r="AR71" s="138"/>
    </row>
    <row r="72" spans="1:1744" ht="22" customHeight="1" x14ac:dyDescent="0.3">
      <c r="A72" s="110"/>
      <c r="B72" s="164" t="str" cm="1">
        <f t="array" aca="1" ref="B72" ca="1">IF(AA72&lt;&gt;"",INDIRECT($AA72 &amp; "!$D$11"),"")</f>
        <v/>
      </c>
      <c r="C72" s="165" t="str" cm="1">
        <f t="array" aca="1" ref="C72" ca="1">IF(B72&lt;&gt;"",INDIRECT($AA72 &amp; "!$U$12"),"")</f>
        <v/>
      </c>
      <c r="D72" s="164" t="str" cm="1">
        <f t="array" aca="1" ref="D72" ca="1">IF(B72&lt;&gt;"",INDIRECT($AA72 &amp; "!AA$11"),"")</f>
        <v/>
      </c>
      <c r="E72" s="164" t="str" cm="1">
        <f t="array" aca="1" ref="E72" ca="1">IF(B72&lt;&gt;"",INDIRECT($AA72 &amp; "!$AB$11"),"")</f>
        <v/>
      </c>
      <c r="F72" s="166" t="str" cm="1">
        <f t="array" aca="1" ref="F72" ca="1">IF(B72&lt;&gt;"",INDIRECT($AA72 &amp; "!$AG$11"),"")</f>
        <v/>
      </c>
      <c r="G72" s="166" t="str" cm="1">
        <f t="array" aca="1" ref="G72" ca="1">IF(B72&lt;&gt;"",INDIRECT($AA72 &amp; "!$AB$40"),"")</f>
        <v/>
      </c>
      <c r="H72" s="166" t="str" cm="1">
        <f t="array" aca="1" ref="H72" ca="1">IF(B72&lt;&gt;"",INDIRECT($AA72 &amp; "!$AF$40"),"")</f>
        <v/>
      </c>
      <c r="I72" s="166" t="str" cm="1">
        <f t="array" aca="1" ref="I72" ca="1">IF(B72&lt;&gt;"",INDIRECT($AA72 &amp; "!$AB$41"),"")</f>
        <v/>
      </c>
      <c r="J72" s="166" t="str" cm="1">
        <f t="array" aca="1" ref="J72" ca="1">IF(B72&lt;&gt;"",INDIRECT($AA72 &amp; "!$AF$41"),"")</f>
        <v/>
      </c>
      <c r="K72" s="166" t="str" cm="1">
        <f t="array" aca="1" ref="K72" ca="1">IF(B72&lt;&gt;"",INDIRECT($AA72 &amp; "!$AB$42"),"")</f>
        <v/>
      </c>
      <c r="L72" s="166" t="str" cm="1">
        <f t="array" aca="1" ref="L72" ca="1">IF(B72&lt;&gt;"",INDIRECT($AA72 &amp; "!$AF$42"),"")</f>
        <v/>
      </c>
      <c r="M72" s="166" t="str" cm="1">
        <f t="array" aca="1" ref="M72" ca="1">IF(B72&lt;&gt;"",INDIRECT($AA72 &amp; "!$AB$43"),"")</f>
        <v/>
      </c>
      <c r="N72" s="166" t="str" cm="1">
        <f t="array" aca="1" ref="N72" ca="1">IF(B72&lt;&gt;"",INDIRECT($AA72 &amp; "!$AF$43"),"")</f>
        <v/>
      </c>
      <c r="O72" s="166" t="str" cm="1">
        <f t="array" aca="1" ref="O72" ca="1">IF(B72&lt;&gt;"",INDIRECT($AA72 &amp; "!$AB$44"),"")</f>
        <v/>
      </c>
      <c r="P72" s="166" t="str" cm="1">
        <f t="array" aca="1" ref="P72" ca="1">IF(B72&lt;&gt;"",INDIRECT($AA72 &amp; "!$AF$44"),"")</f>
        <v/>
      </c>
      <c r="Q72" s="166" t="str" cm="1">
        <f t="array" aca="1" ref="Q72" ca="1">IF(B72&lt;&gt;"",INDIRECT($AA72 &amp; "!$AB$45"),"")</f>
        <v/>
      </c>
      <c r="R72" s="166" t="str" cm="1">
        <f t="array" aca="1" ref="R72" ca="1">IF(B72&lt;&gt;"",INDIRECT($AA72 &amp; "!$AF$45"),"")</f>
        <v/>
      </c>
      <c r="S72" s="166" t="str" cm="1">
        <f t="array" aca="1" ref="S72" ca="1">IF(B72&lt;&gt;"",INDIRECT($AA72 &amp; "!$AB$46"),"")</f>
        <v/>
      </c>
      <c r="T72" s="166" t="str" cm="1">
        <f t="array" aca="1" ref="T72" ca="1">IF(B72&lt;&gt;"",INDIRECT($AA72 &amp; "!$AF$46"),"")</f>
        <v/>
      </c>
      <c r="U72" s="166" t="str" cm="1">
        <f t="array" aca="1" ref="U72" ca="1">IF(B72&lt;&gt;"",INDIRECT($AA72 &amp; "!$AB$47"),"")</f>
        <v/>
      </c>
      <c r="V72" s="166" t="str" cm="1">
        <f t="array" aca="1" ref="V72" ca="1">IF(B72&lt;&gt;"",INDIRECT($AA72 &amp; "!$AF$47"),"")</f>
        <v/>
      </c>
      <c r="W72" s="167" t="str" cm="1">
        <f t="array" aca="1" ref="W72" ca="1">IF(B72&lt;&gt;"",INDIRECT($AA72 &amp; "!$AF$54"),"")</f>
        <v/>
      </c>
      <c r="X72" s="111"/>
      <c r="Z72" s="147"/>
      <c r="AA72" s="153" t="str">
        <f t="shared" si="1"/>
        <v/>
      </c>
      <c r="AB72" s="154"/>
      <c r="AC72" s="154"/>
      <c r="AD72" s="154"/>
      <c r="AE72" s="154"/>
      <c r="AF72" s="154"/>
      <c r="AG72" s="155"/>
      <c r="AR72" s="138"/>
    </row>
    <row r="73" spans="1:1744" ht="22" customHeight="1" x14ac:dyDescent="0.3">
      <c r="A73" s="110"/>
      <c r="B73" s="164" t="str" cm="1">
        <f t="array" aca="1" ref="B73" ca="1">IF(AA73&lt;&gt;"",INDIRECT($AA73 &amp; "!$D$11"),"")</f>
        <v/>
      </c>
      <c r="C73" s="165" t="str" cm="1">
        <f t="array" aca="1" ref="C73" ca="1">IF(B73&lt;&gt;"",INDIRECT($AA73 &amp; "!$U$12"),"")</f>
        <v/>
      </c>
      <c r="D73" s="164" t="str" cm="1">
        <f t="array" aca="1" ref="D73" ca="1">IF(B73&lt;&gt;"",INDIRECT($AA73 &amp; "!AA$11"),"")</f>
        <v/>
      </c>
      <c r="E73" s="164" t="str" cm="1">
        <f t="array" aca="1" ref="E73" ca="1">IF(B73&lt;&gt;"",INDIRECT($AA73 &amp; "!$AB$11"),"")</f>
        <v/>
      </c>
      <c r="F73" s="166" t="str" cm="1">
        <f t="array" aca="1" ref="F73" ca="1">IF(B73&lt;&gt;"",INDIRECT($AA73 &amp; "!$AG$11"),"")</f>
        <v/>
      </c>
      <c r="G73" s="166" t="str" cm="1">
        <f t="array" aca="1" ref="G73" ca="1">IF(B73&lt;&gt;"",INDIRECT($AA73 &amp; "!$AB$40"),"")</f>
        <v/>
      </c>
      <c r="H73" s="166" t="str" cm="1">
        <f t="array" aca="1" ref="H73" ca="1">IF(B73&lt;&gt;"",INDIRECT($AA73 &amp; "!$AF$40"),"")</f>
        <v/>
      </c>
      <c r="I73" s="166" t="str" cm="1">
        <f t="array" aca="1" ref="I73" ca="1">IF(B73&lt;&gt;"",INDIRECT($AA73 &amp; "!$AB$41"),"")</f>
        <v/>
      </c>
      <c r="J73" s="166" t="str" cm="1">
        <f t="array" aca="1" ref="J73" ca="1">IF(B73&lt;&gt;"",INDIRECT($AA73 &amp; "!$AF$41"),"")</f>
        <v/>
      </c>
      <c r="K73" s="166" t="str" cm="1">
        <f t="array" aca="1" ref="K73" ca="1">IF(B73&lt;&gt;"",INDIRECT($AA73 &amp; "!$AB$42"),"")</f>
        <v/>
      </c>
      <c r="L73" s="166" t="str" cm="1">
        <f t="array" aca="1" ref="L73" ca="1">IF(B73&lt;&gt;"",INDIRECT($AA73 &amp; "!$AF$42"),"")</f>
        <v/>
      </c>
      <c r="M73" s="166" t="str" cm="1">
        <f t="array" aca="1" ref="M73" ca="1">IF(B73&lt;&gt;"",INDIRECT($AA73 &amp; "!$AB$43"),"")</f>
        <v/>
      </c>
      <c r="N73" s="166" t="str" cm="1">
        <f t="array" aca="1" ref="N73" ca="1">IF(B73&lt;&gt;"",INDIRECT($AA73 &amp; "!$AF$43"),"")</f>
        <v/>
      </c>
      <c r="O73" s="166" t="str" cm="1">
        <f t="array" aca="1" ref="O73" ca="1">IF(B73&lt;&gt;"",INDIRECT($AA73 &amp; "!$AB$44"),"")</f>
        <v/>
      </c>
      <c r="P73" s="166" t="str" cm="1">
        <f t="array" aca="1" ref="P73" ca="1">IF(B73&lt;&gt;"",INDIRECT($AA73 &amp; "!$AF$44"),"")</f>
        <v/>
      </c>
      <c r="Q73" s="166" t="str" cm="1">
        <f t="array" aca="1" ref="Q73" ca="1">IF(B73&lt;&gt;"",INDIRECT($AA73 &amp; "!$AB$45"),"")</f>
        <v/>
      </c>
      <c r="R73" s="166" t="str" cm="1">
        <f t="array" aca="1" ref="R73" ca="1">IF(B73&lt;&gt;"",INDIRECT($AA73 &amp; "!$AF$45"),"")</f>
        <v/>
      </c>
      <c r="S73" s="166" t="str" cm="1">
        <f t="array" aca="1" ref="S73" ca="1">IF(B73&lt;&gt;"",INDIRECT($AA73 &amp; "!$AB$46"),"")</f>
        <v/>
      </c>
      <c r="T73" s="166" t="str" cm="1">
        <f t="array" aca="1" ref="T73" ca="1">IF(B73&lt;&gt;"",INDIRECT($AA73 &amp; "!$AF$46"),"")</f>
        <v/>
      </c>
      <c r="U73" s="166" t="str" cm="1">
        <f t="array" aca="1" ref="U73" ca="1">IF(B73&lt;&gt;"",INDIRECT($AA73 &amp; "!$AB$47"),"")</f>
        <v/>
      </c>
      <c r="V73" s="166" t="str" cm="1">
        <f t="array" aca="1" ref="V73" ca="1">IF(B73&lt;&gt;"",INDIRECT($AA73 &amp; "!$AF$47"),"")</f>
        <v/>
      </c>
      <c r="W73" s="167" t="str" cm="1">
        <f t="array" aca="1" ref="W73" ca="1">IF(B73&lt;&gt;"",INDIRECT($AA73 &amp; "!$AF$54"),"")</f>
        <v/>
      </c>
      <c r="X73" s="111"/>
      <c r="Z73" s="147"/>
      <c r="AA73" s="153" t="str">
        <f t="shared" si="1"/>
        <v/>
      </c>
      <c r="AB73" s="154"/>
      <c r="AC73" s="154"/>
      <c r="AD73" s="154"/>
      <c r="AE73" s="154"/>
      <c r="AF73" s="154"/>
      <c r="AG73" s="155"/>
      <c r="AR73" s="138"/>
    </row>
    <row r="74" spans="1:1744" ht="22" customHeight="1" x14ac:dyDescent="0.3">
      <c r="A74" s="110"/>
      <c r="B74" s="164" t="str" cm="1">
        <f t="array" aca="1" ref="B74" ca="1">IF(AA74&lt;&gt;"",INDIRECT($AA74 &amp; "!$D$11"),"")</f>
        <v/>
      </c>
      <c r="C74" s="165" t="str" cm="1">
        <f t="array" aca="1" ref="C74" ca="1">IF(B74&lt;&gt;"",INDIRECT($AA74 &amp; "!$U$12"),"")</f>
        <v/>
      </c>
      <c r="D74" s="164" t="str" cm="1">
        <f t="array" aca="1" ref="D74" ca="1">IF(B74&lt;&gt;"",INDIRECT($AA74 &amp; "!AA$11"),"")</f>
        <v/>
      </c>
      <c r="E74" s="164" t="str" cm="1">
        <f t="array" aca="1" ref="E74" ca="1">IF(B74&lt;&gt;"",INDIRECT($AA74 &amp; "!$AB$11"),"")</f>
        <v/>
      </c>
      <c r="F74" s="166" t="str" cm="1">
        <f t="array" aca="1" ref="F74" ca="1">IF(B74&lt;&gt;"",INDIRECT($AA74 &amp; "!$AG$11"),"")</f>
        <v/>
      </c>
      <c r="G74" s="166" t="str" cm="1">
        <f t="array" aca="1" ref="G74" ca="1">IF(B74&lt;&gt;"",INDIRECT($AA74 &amp; "!$AB$40"),"")</f>
        <v/>
      </c>
      <c r="H74" s="166" t="str" cm="1">
        <f t="array" aca="1" ref="H74" ca="1">IF(B74&lt;&gt;"",INDIRECT($AA74 &amp; "!$AF$40"),"")</f>
        <v/>
      </c>
      <c r="I74" s="166" t="str" cm="1">
        <f t="array" aca="1" ref="I74" ca="1">IF(B74&lt;&gt;"",INDIRECT($AA74 &amp; "!$AB$41"),"")</f>
        <v/>
      </c>
      <c r="J74" s="166" t="str" cm="1">
        <f t="array" aca="1" ref="J74" ca="1">IF(B74&lt;&gt;"",INDIRECT($AA74 &amp; "!$AF$41"),"")</f>
        <v/>
      </c>
      <c r="K74" s="166" t="str" cm="1">
        <f t="array" aca="1" ref="K74" ca="1">IF(B74&lt;&gt;"",INDIRECT($AA74 &amp; "!$AB$42"),"")</f>
        <v/>
      </c>
      <c r="L74" s="166" t="str" cm="1">
        <f t="array" aca="1" ref="L74" ca="1">IF(B74&lt;&gt;"",INDIRECT($AA74 &amp; "!$AF$42"),"")</f>
        <v/>
      </c>
      <c r="M74" s="166" t="str" cm="1">
        <f t="array" aca="1" ref="M74" ca="1">IF(B74&lt;&gt;"",INDIRECT($AA74 &amp; "!$AB$43"),"")</f>
        <v/>
      </c>
      <c r="N74" s="166" t="str" cm="1">
        <f t="array" aca="1" ref="N74" ca="1">IF(B74&lt;&gt;"",INDIRECT($AA74 &amp; "!$AF$43"),"")</f>
        <v/>
      </c>
      <c r="O74" s="166" t="str" cm="1">
        <f t="array" aca="1" ref="O74" ca="1">IF(B74&lt;&gt;"",INDIRECT($AA74 &amp; "!$AB$44"),"")</f>
        <v/>
      </c>
      <c r="P74" s="166" t="str" cm="1">
        <f t="array" aca="1" ref="P74" ca="1">IF(B74&lt;&gt;"",INDIRECT($AA74 &amp; "!$AF$44"),"")</f>
        <v/>
      </c>
      <c r="Q74" s="166" t="str" cm="1">
        <f t="array" aca="1" ref="Q74" ca="1">IF(B74&lt;&gt;"",INDIRECT($AA74 &amp; "!$AB$45"),"")</f>
        <v/>
      </c>
      <c r="R74" s="166" t="str" cm="1">
        <f t="array" aca="1" ref="R74" ca="1">IF(B74&lt;&gt;"",INDIRECT($AA74 &amp; "!$AF$45"),"")</f>
        <v/>
      </c>
      <c r="S74" s="166" t="str" cm="1">
        <f t="array" aca="1" ref="S74" ca="1">IF(B74&lt;&gt;"",INDIRECT($AA74 &amp; "!$AB$46"),"")</f>
        <v/>
      </c>
      <c r="T74" s="166" t="str" cm="1">
        <f t="array" aca="1" ref="T74" ca="1">IF(B74&lt;&gt;"",INDIRECT($AA74 &amp; "!$AF$46"),"")</f>
        <v/>
      </c>
      <c r="U74" s="166" t="str" cm="1">
        <f t="array" aca="1" ref="U74" ca="1">IF(B74&lt;&gt;"",INDIRECT($AA74 &amp; "!$AB$47"),"")</f>
        <v/>
      </c>
      <c r="V74" s="166" t="str" cm="1">
        <f t="array" aca="1" ref="V74" ca="1">IF(B74&lt;&gt;"",INDIRECT($AA74 &amp; "!$AF$47"),"")</f>
        <v/>
      </c>
      <c r="W74" s="167" t="str" cm="1">
        <f t="array" aca="1" ref="W74" ca="1">IF(B74&lt;&gt;"",INDIRECT($AA74 &amp; "!$AF$54"),"")</f>
        <v/>
      </c>
      <c r="X74" s="111"/>
      <c r="Z74" s="147"/>
      <c r="AA74" s="153" t="str">
        <f t="shared" si="1"/>
        <v/>
      </c>
      <c r="AB74" s="154"/>
      <c r="AC74" s="154"/>
      <c r="AD74" s="154"/>
      <c r="AE74" s="154"/>
      <c r="AF74" s="154"/>
      <c r="AG74" s="155"/>
      <c r="AR74" s="138"/>
    </row>
    <row r="75" spans="1:1744" ht="22" customHeight="1" x14ac:dyDescent="0.3">
      <c r="A75" s="110"/>
      <c r="B75" s="164" t="str" cm="1">
        <f t="array" aca="1" ref="B75" ca="1">IF(AA75&lt;&gt;"",INDIRECT($AA75 &amp; "!$D$11"),"")</f>
        <v/>
      </c>
      <c r="C75" s="165" t="str" cm="1">
        <f t="array" aca="1" ref="C75" ca="1">IF(B75&lt;&gt;"",INDIRECT($AA75 &amp; "!$U$12"),"")</f>
        <v/>
      </c>
      <c r="D75" s="164" t="str" cm="1">
        <f t="array" aca="1" ref="D75" ca="1">IF(B75&lt;&gt;"",INDIRECT($AA75 &amp; "!AA$11"),"")</f>
        <v/>
      </c>
      <c r="E75" s="164" t="str" cm="1">
        <f t="array" aca="1" ref="E75" ca="1">IF(B75&lt;&gt;"",INDIRECT($AA75 &amp; "!$AB$11"),"")</f>
        <v/>
      </c>
      <c r="F75" s="166" t="str" cm="1">
        <f t="array" aca="1" ref="F75" ca="1">IF(B75&lt;&gt;"",INDIRECT($AA75 &amp; "!$AG$11"),"")</f>
        <v/>
      </c>
      <c r="G75" s="166" t="str" cm="1">
        <f t="array" aca="1" ref="G75" ca="1">IF(B75&lt;&gt;"",INDIRECT($AA75 &amp; "!$AB$40"),"")</f>
        <v/>
      </c>
      <c r="H75" s="166" t="str" cm="1">
        <f t="array" aca="1" ref="H75" ca="1">IF(B75&lt;&gt;"",INDIRECT($AA75 &amp; "!$AF$40"),"")</f>
        <v/>
      </c>
      <c r="I75" s="166" t="str" cm="1">
        <f t="array" aca="1" ref="I75" ca="1">IF(B75&lt;&gt;"",INDIRECT($AA75 &amp; "!$AB$41"),"")</f>
        <v/>
      </c>
      <c r="J75" s="166" t="str" cm="1">
        <f t="array" aca="1" ref="J75" ca="1">IF(B75&lt;&gt;"",INDIRECT($AA75 &amp; "!$AF$41"),"")</f>
        <v/>
      </c>
      <c r="K75" s="166" t="str" cm="1">
        <f t="array" aca="1" ref="K75" ca="1">IF(B75&lt;&gt;"",INDIRECT($AA75 &amp; "!$AB$42"),"")</f>
        <v/>
      </c>
      <c r="L75" s="166" t="str" cm="1">
        <f t="array" aca="1" ref="L75" ca="1">IF(B75&lt;&gt;"",INDIRECT($AA75 &amp; "!$AF$42"),"")</f>
        <v/>
      </c>
      <c r="M75" s="166" t="str" cm="1">
        <f t="array" aca="1" ref="M75" ca="1">IF(B75&lt;&gt;"",INDIRECT($AA75 &amp; "!$AB$43"),"")</f>
        <v/>
      </c>
      <c r="N75" s="166" t="str" cm="1">
        <f t="array" aca="1" ref="N75" ca="1">IF(B75&lt;&gt;"",INDIRECT($AA75 &amp; "!$AF$43"),"")</f>
        <v/>
      </c>
      <c r="O75" s="166" t="str" cm="1">
        <f t="array" aca="1" ref="O75" ca="1">IF(B75&lt;&gt;"",INDIRECT($AA75 &amp; "!$AB$44"),"")</f>
        <v/>
      </c>
      <c r="P75" s="166" t="str" cm="1">
        <f t="array" aca="1" ref="P75" ca="1">IF(B75&lt;&gt;"",INDIRECT($AA75 &amp; "!$AF$44"),"")</f>
        <v/>
      </c>
      <c r="Q75" s="166" t="str" cm="1">
        <f t="array" aca="1" ref="Q75" ca="1">IF(B75&lt;&gt;"",INDIRECT($AA75 &amp; "!$AB$45"),"")</f>
        <v/>
      </c>
      <c r="R75" s="166" t="str" cm="1">
        <f t="array" aca="1" ref="R75" ca="1">IF(B75&lt;&gt;"",INDIRECT($AA75 &amp; "!$AF$45"),"")</f>
        <v/>
      </c>
      <c r="S75" s="166" t="str" cm="1">
        <f t="array" aca="1" ref="S75" ca="1">IF(B75&lt;&gt;"",INDIRECT($AA75 &amp; "!$AB$46"),"")</f>
        <v/>
      </c>
      <c r="T75" s="166" t="str" cm="1">
        <f t="array" aca="1" ref="T75" ca="1">IF(B75&lt;&gt;"",INDIRECT($AA75 &amp; "!$AF$46"),"")</f>
        <v/>
      </c>
      <c r="U75" s="166" t="str" cm="1">
        <f t="array" aca="1" ref="U75" ca="1">IF(B75&lt;&gt;"",INDIRECT($AA75 &amp; "!$AB$47"),"")</f>
        <v/>
      </c>
      <c r="V75" s="166" t="str" cm="1">
        <f t="array" aca="1" ref="V75" ca="1">IF(B75&lt;&gt;"",INDIRECT($AA75 &amp; "!$AF$47"),"")</f>
        <v/>
      </c>
      <c r="W75" s="167" t="str" cm="1">
        <f t="array" aca="1" ref="W75" ca="1">IF(B75&lt;&gt;"",INDIRECT($AA75 &amp; "!$AF$54"),"")</f>
        <v/>
      </c>
      <c r="X75" s="111"/>
      <c r="Z75" s="147"/>
      <c r="AA75" s="153" t="str">
        <f t="shared" si="1"/>
        <v/>
      </c>
      <c r="AB75" s="154"/>
      <c r="AC75" s="154"/>
      <c r="AD75" s="154"/>
      <c r="AE75" s="154"/>
      <c r="AF75" s="154"/>
      <c r="AG75" s="155"/>
      <c r="AR75" s="138"/>
    </row>
    <row r="76" spans="1:1744" ht="22" customHeight="1" x14ac:dyDescent="0.3">
      <c r="A76" s="110"/>
      <c r="B76" s="164" t="str" cm="1">
        <f t="array" aca="1" ref="B76" ca="1">IF(AA76&lt;&gt;"",INDIRECT($AA76 &amp; "!$D$11"),"")</f>
        <v/>
      </c>
      <c r="C76" s="165" t="str" cm="1">
        <f t="array" aca="1" ref="C76" ca="1">IF(B76&lt;&gt;"",INDIRECT($AA76 &amp; "!$U$12"),"")</f>
        <v/>
      </c>
      <c r="D76" s="164" t="str" cm="1">
        <f t="array" aca="1" ref="D76" ca="1">IF(B76&lt;&gt;"",INDIRECT($AA76 &amp; "!AA$11"),"")</f>
        <v/>
      </c>
      <c r="E76" s="164" t="str" cm="1">
        <f t="array" aca="1" ref="E76" ca="1">IF(B76&lt;&gt;"",INDIRECT($AA76 &amp; "!$AB$11"),"")</f>
        <v/>
      </c>
      <c r="F76" s="166" t="str" cm="1">
        <f t="array" aca="1" ref="F76" ca="1">IF(B76&lt;&gt;"",INDIRECT($AA76 &amp; "!$AG$11"),"")</f>
        <v/>
      </c>
      <c r="G76" s="166" t="str" cm="1">
        <f t="array" aca="1" ref="G76" ca="1">IF(B76&lt;&gt;"",INDIRECT($AA76 &amp; "!$AB$40"),"")</f>
        <v/>
      </c>
      <c r="H76" s="166" t="str" cm="1">
        <f t="array" aca="1" ref="H76" ca="1">IF(B76&lt;&gt;"",INDIRECT($AA76 &amp; "!$AF$40"),"")</f>
        <v/>
      </c>
      <c r="I76" s="166" t="str" cm="1">
        <f t="array" aca="1" ref="I76" ca="1">IF(B76&lt;&gt;"",INDIRECT($AA76 &amp; "!$AB$41"),"")</f>
        <v/>
      </c>
      <c r="J76" s="166" t="str" cm="1">
        <f t="array" aca="1" ref="J76" ca="1">IF(B76&lt;&gt;"",INDIRECT($AA76 &amp; "!$AF$41"),"")</f>
        <v/>
      </c>
      <c r="K76" s="166" t="str" cm="1">
        <f t="array" aca="1" ref="K76" ca="1">IF(B76&lt;&gt;"",INDIRECT($AA76 &amp; "!$AB$42"),"")</f>
        <v/>
      </c>
      <c r="L76" s="166" t="str" cm="1">
        <f t="array" aca="1" ref="L76" ca="1">IF(B76&lt;&gt;"",INDIRECT($AA76 &amp; "!$AF$42"),"")</f>
        <v/>
      </c>
      <c r="M76" s="166" t="str" cm="1">
        <f t="array" aca="1" ref="M76" ca="1">IF(B76&lt;&gt;"",INDIRECT($AA76 &amp; "!$AB$43"),"")</f>
        <v/>
      </c>
      <c r="N76" s="166" t="str" cm="1">
        <f t="array" aca="1" ref="N76" ca="1">IF(B76&lt;&gt;"",INDIRECT($AA76 &amp; "!$AF$43"),"")</f>
        <v/>
      </c>
      <c r="O76" s="166" t="str" cm="1">
        <f t="array" aca="1" ref="O76" ca="1">IF(B76&lt;&gt;"",INDIRECT($AA76 &amp; "!$AB$44"),"")</f>
        <v/>
      </c>
      <c r="P76" s="166" t="str" cm="1">
        <f t="array" aca="1" ref="P76" ca="1">IF(B76&lt;&gt;"",INDIRECT($AA76 &amp; "!$AF$44"),"")</f>
        <v/>
      </c>
      <c r="Q76" s="166" t="str" cm="1">
        <f t="array" aca="1" ref="Q76" ca="1">IF(B76&lt;&gt;"",INDIRECT($AA76 &amp; "!$AB$45"),"")</f>
        <v/>
      </c>
      <c r="R76" s="166" t="str" cm="1">
        <f t="array" aca="1" ref="R76" ca="1">IF(B76&lt;&gt;"",INDIRECT($AA76 &amp; "!$AF$45"),"")</f>
        <v/>
      </c>
      <c r="S76" s="166" t="str" cm="1">
        <f t="array" aca="1" ref="S76" ca="1">IF(B76&lt;&gt;"",INDIRECT($AA76 &amp; "!$AB$46"),"")</f>
        <v/>
      </c>
      <c r="T76" s="166" t="str" cm="1">
        <f t="array" aca="1" ref="T76" ca="1">IF(B76&lt;&gt;"",INDIRECT($AA76 &amp; "!$AF$46"),"")</f>
        <v/>
      </c>
      <c r="U76" s="166" t="str" cm="1">
        <f t="array" aca="1" ref="U76" ca="1">IF(B76&lt;&gt;"",INDIRECT($AA76 &amp; "!$AB$47"),"")</f>
        <v/>
      </c>
      <c r="V76" s="166" t="str" cm="1">
        <f t="array" aca="1" ref="V76" ca="1">IF(B76&lt;&gt;"",INDIRECT($AA76 &amp; "!$AF$47"),"")</f>
        <v/>
      </c>
      <c r="W76" s="167" t="str" cm="1">
        <f t="array" aca="1" ref="W76" ca="1">IF(B76&lt;&gt;"",INDIRECT($AA76 &amp; "!$AF$54"),"")</f>
        <v/>
      </c>
      <c r="X76" s="111"/>
      <c r="Z76" s="147"/>
      <c r="AA76" s="153" t="str">
        <f t="shared" si="1"/>
        <v/>
      </c>
      <c r="AB76" s="154"/>
      <c r="AC76" s="154"/>
      <c r="AD76" s="154"/>
      <c r="AE76" s="154"/>
      <c r="AF76" s="154"/>
      <c r="AG76" s="155"/>
      <c r="AR76" s="138"/>
    </row>
    <row r="77" spans="1:1744" s="84" customFormat="1" ht="9.65" customHeight="1" x14ac:dyDescent="0.3">
      <c r="A77" s="79"/>
      <c r="B77" s="114"/>
      <c r="C77" s="80"/>
      <c r="D77" s="80"/>
      <c r="E77" s="80"/>
      <c r="F77" s="80"/>
      <c r="G77" s="80"/>
      <c r="H77" s="80"/>
      <c r="I77" s="80"/>
      <c r="J77" s="80"/>
      <c r="K77" s="80"/>
      <c r="L77" s="80"/>
      <c r="M77" s="80"/>
      <c r="N77" s="80"/>
      <c r="O77" s="80"/>
      <c r="P77" s="80"/>
      <c r="Q77" s="80"/>
      <c r="R77" s="80"/>
      <c r="S77" s="80"/>
      <c r="T77" s="80"/>
      <c r="U77" s="80"/>
      <c r="V77" s="80"/>
      <c r="W77" s="115"/>
      <c r="X77" s="81"/>
      <c r="Y77" s="80"/>
      <c r="Z77" s="148"/>
      <c r="AA77" s="80"/>
      <c r="AB77" s="80"/>
      <c r="AC77" s="80"/>
      <c r="AD77" s="80"/>
      <c r="AE77" s="80"/>
      <c r="AF77" s="80"/>
      <c r="AG77" s="80"/>
      <c r="AH77" s="63"/>
      <c r="AI77" s="80"/>
      <c r="AJ77" s="80"/>
      <c r="AK77" s="80"/>
      <c r="AL77" s="80"/>
      <c r="AM77" s="80"/>
      <c r="AN77" s="80"/>
      <c r="AO77" s="80"/>
      <c r="AP77" s="80"/>
      <c r="AQ77" s="80"/>
      <c r="AR77" s="149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80"/>
      <c r="BZ77" s="80"/>
      <c r="CA77" s="80"/>
      <c r="CB77" s="80"/>
      <c r="CC77" s="80"/>
      <c r="CD77" s="80"/>
      <c r="CE77" s="80"/>
      <c r="CF77" s="80"/>
      <c r="CG77" s="80"/>
      <c r="CH77" s="80"/>
      <c r="CI77" s="80"/>
      <c r="CJ77" s="80"/>
      <c r="CK77" s="80"/>
      <c r="CL77" s="80"/>
      <c r="CM77" s="80"/>
      <c r="CN77" s="80"/>
      <c r="CO77" s="80"/>
      <c r="CP77" s="80"/>
      <c r="CQ77" s="80"/>
      <c r="CR77" s="80"/>
      <c r="CS77" s="80"/>
      <c r="CT77" s="80"/>
      <c r="CU77" s="80"/>
      <c r="CV77" s="80"/>
      <c r="CW77" s="80"/>
      <c r="CX77" s="80"/>
      <c r="CY77" s="80"/>
      <c r="CZ77" s="80"/>
      <c r="DA77" s="80"/>
      <c r="DB77" s="80"/>
      <c r="DC77" s="80"/>
      <c r="DD77" s="80"/>
      <c r="DE77" s="80"/>
      <c r="DF77" s="80"/>
      <c r="DG77" s="80"/>
      <c r="DH77" s="80"/>
      <c r="DI77" s="80"/>
      <c r="DJ77" s="80"/>
      <c r="DK77" s="80"/>
      <c r="DL77" s="80"/>
      <c r="DM77" s="80"/>
      <c r="DN77" s="80"/>
      <c r="DO77" s="80"/>
      <c r="DP77" s="80"/>
      <c r="DQ77" s="80"/>
      <c r="DR77" s="80"/>
      <c r="DS77" s="80"/>
      <c r="DT77" s="80"/>
      <c r="DU77" s="80"/>
      <c r="DV77" s="80"/>
      <c r="DW77" s="80"/>
      <c r="DX77" s="80"/>
      <c r="DY77" s="80"/>
      <c r="DZ77" s="80"/>
      <c r="EA77" s="80"/>
      <c r="EB77" s="80"/>
      <c r="EC77" s="80"/>
      <c r="ED77" s="80"/>
      <c r="EE77" s="80"/>
      <c r="EF77" s="80"/>
      <c r="EG77" s="80"/>
      <c r="EH77" s="80"/>
      <c r="EI77" s="80"/>
      <c r="EJ77" s="80"/>
      <c r="EK77" s="80"/>
      <c r="EL77" s="80"/>
      <c r="EM77" s="80"/>
      <c r="EN77" s="80"/>
      <c r="EO77" s="80"/>
      <c r="EP77" s="80"/>
      <c r="EQ77" s="80"/>
      <c r="ER77" s="80"/>
      <c r="ES77" s="80"/>
      <c r="ET77" s="80"/>
      <c r="EU77" s="80"/>
      <c r="EV77" s="80"/>
      <c r="EW77" s="80"/>
      <c r="EX77" s="80"/>
      <c r="EY77" s="80"/>
      <c r="EZ77" s="80"/>
      <c r="FA77" s="80"/>
      <c r="FB77" s="80"/>
      <c r="FC77" s="80"/>
      <c r="FD77" s="80"/>
      <c r="FE77" s="80"/>
      <c r="FF77" s="80"/>
      <c r="FG77" s="80"/>
      <c r="FH77" s="80"/>
      <c r="FI77" s="80"/>
      <c r="FJ77" s="80"/>
      <c r="FK77" s="80"/>
      <c r="FL77" s="80"/>
      <c r="FM77" s="80"/>
      <c r="FN77" s="80"/>
      <c r="FO77" s="80"/>
      <c r="FP77" s="80"/>
      <c r="FQ77" s="80"/>
      <c r="FR77" s="80"/>
      <c r="FS77" s="80"/>
      <c r="FT77" s="80"/>
      <c r="FU77" s="80"/>
      <c r="FV77" s="80"/>
      <c r="FW77" s="80"/>
      <c r="FX77" s="80"/>
      <c r="FY77" s="80"/>
      <c r="FZ77" s="80"/>
      <c r="GA77" s="80"/>
      <c r="GB77" s="80"/>
      <c r="GC77" s="80"/>
      <c r="GD77" s="80"/>
      <c r="GE77" s="80"/>
      <c r="GF77" s="80"/>
      <c r="GG77" s="80"/>
      <c r="GH77" s="80"/>
      <c r="GI77" s="80"/>
      <c r="GJ77" s="80"/>
      <c r="GK77" s="80"/>
      <c r="GL77" s="80"/>
      <c r="GM77" s="80"/>
      <c r="GN77" s="80"/>
      <c r="GO77" s="80"/>
      <c r="GP77" s="80"/>
      <c r="GQ77" s="80"/>
      <c r="GR77" s="80"/>
      <c r="GS77" s="80"/>
      <c r="GT77" s="80"/>
      <c r="GU77" s="80"/>
      <c r="GV77" s="80"/>
      <c r="GW77" s="80"/>
      <c r="GX77" s="80"/>
      <c r="GY77" s="80"/>
      <c r="GZ77" s="80"/>
      <c r="HA77" s="80"/>
      <c r="HB77" s="80"/>
      <c r="HC77" s="80"/>
      <c r="HD77" s="80"/>
      <c r="HE77" s="80"/>
      <c r="HF77" s="80"/>
      <c r="HG77" s="80"/>
      <c r="HH77" s="80"/>
      <c r="HI77" s="80"/>
      <c r="HJ77" s="80"/>
      <c r="HK77" s="80"/>
      <c r="HL77" s="80"/>
      <c r="HM77" s="80"/>
      <c r="HN77" s="80"/>
      <c r="HO77" s="80"/>
      <c r="HP77" s="80"/>
      <c r="HQ77" s="80"/>
      <c r="HR77" s="80"/>
      <c r="HS77" s="80"/>
      <c r="HT77" s="80"/>
      <c r="HU77" s="80"/>
      <c r="HV77" s="80"/>
      <c r="HW77" s="80"/>
      <c r="HX77" s="80"/>
      <c r="HY77" s="80"/>
      <c r="HZ77" s="80"/>
      <c r="IA77" s="80"/>
      <c r="IB77" s="80"/>
      <c r="IC77" s="80"/>
      <c r="ID77" s="80"/>
      <c r="IE77" s="80"/>
      <c r="IF77" s="80"/>
      <c r="IG77" s="80"/>
      <c r="IH77" s="80"/>
      <c r="II77" s="80"/>
      <c r="IJ77" s="80"/>
      <c r="IK77" s="80"/>
      <c r="IL77" s="80"/>
      <c r="IM77" s="80"/>
      <c r="IN77" s="80"/>
      <c r="IO77" s="80"/>
      <c r="IP77" s="80"/>
      <c r="IQ77" s="80"/>
      <c r="IR77" s="80"/>
      <c r="IS77" s="80"/>
      <c r="IT77" s="80"/>
      <c r="IU77" s="80"/>
      <c r="IV77" s="80"/>
      <c r="IW77" s="80"/>
      <c r="IX77" s="80"/>
      <c r="IY77" s="80"/>
      <c r="IZ77" s="80"/>
      <c r="JA77" s="80"/>
      <c r="JB77" s="80"/>
      <c r="JC77" s="80"/>
      <c r="JD77" s="80"/>
      <c r="JE77" s="80"/>
      <c r="JF77" s="80"/>
      <c r="JG77" s="80"/>
      <c r="JH77" s="80"/>
      <c r="JI77" s="80"/>
      <c r="JJ77" s="80"/>
      <c r="JK77" s="80"/>
      <c r="JL77" s="80"/>
      <c r="JM77" s="80"/>
      <c r="JN77" s="80"/>
      <c r="JO77" s="80"/>
      <c r="JP77" s="80"/>
      <c r="JQ77" s="80"/>
      <c r="JR77" s="80"/>
      <c r="JS77" s="80"/>
      <c r="JT77" s="80"/>
      <c r="JU77" s="80"/>
      <c r="JV77" s="80"/>
      <c r="JW77" s="80"/>
      <c r="JX77" s="80"/>
      <c r="JY77" s="80"/>
      <c r="JZ77" s="80"/>
      <c r="KA77" s="80"/>
      <c r="KB77" s="80"/>
      <c r="KC77" s="80"/>
      <c r="KD77" s="80"/>
      <c r="KE77" s="80"/>
      <c r="KF77" s="80"/>
      <c r="KG77" s="80"/>
      <c r="KH77" s="80"/>
      <c r="KI77" s="80"/>
      <c r="KJ77" s="80"/>
      <c r="KK77" s="80"/>
      <c r="KL77" s="80"/>
      <c r="KM77" s="80"/>
      <c r="KN77" s="80"/>
      <c r="KO77" s="80"/>
      <c r="KP77" s="80"/>
      <c r="KQ77" s="80"/>
      <c r="KR77" s="80"/>
      <c r="KS77" s="80"/>
      <c r="KT77" s="80"/>
      <c r="KU77" s="80"/>
      <c r="KV77" s="80"/>
      <c r="KW77" s="80"/>
      <c r="KX77" s="80"/>
      <c r="KY77" s="80"/>
      <c r="KZ77" s="80"/>
      <c r="LA77" s="80"/>
      <c r="LB77" s="80"/>
      <c r="LC77" s="80"/>
      <c r="LD77" s="80"/>
      <c r="LE77" s="80"/>
      <c r="LF77" s="80"/>
      <c r="LG77" s="80"/>
      <c r="LH77" s="80"/>
      <c r="LI77" s="80"/>
      <c r="LJ77" s="80"/>
      <c r="LK77" s="80"/>
      <c r="LL77" s="80"/>
      <c r="LM77" s="80"/>
      <c r="LN77" s="80"/>
      <c r="LO77" s="80"/>
      <c r="LP77" s="80"/>
      <c r="LQ77" s="80"/>
      <c r="LR77" s="80"/>
      <c r="LS77" s="80"/>
      <c r="LT77" s="80"/>
      <c r="LU77" s="80"/>
      <c r="LV77" s="80"/>
      <c r="LW77" s="80"/>
      <c r="LX77" s="80"/>
      <c r="LY77" s="80"/>
      <c r="LZ77" s="80"/>
      <c r="MA77" s="80"/>
      <c r="MB77" s="80"/>
      <c r="MC77" s="80"/>
      <c r="MD77" s="80"/>
      <c r="ME77" s="80"/>
      <c r="MF77" s="80"/>
      <c r="MG77" s="80"/>
      <c r="MH77" s="80"/>
      <c r="MI77" s="80"/>
      <c r="MJ77" s="80"/>
      <c r="MK77" s="80"/>
      <c r="ML77" s="80"/>
      <c r="MM77" s="80"/>
      <c r="MN77" s="80"/>
      <c r="MO77" s="80"/>
      <c r="MP77" s="80"/>
      <c r="MQ77" s="80"/>
      <c r="MR77" s="80"/>
      <c r="MS77" s="80"/>
      <c r="MT77" s="80"/>
      <c r="MU77" s="80"/>
      <c r="MV77" s="80"/>
      <c r="MW77" s="80"/>
      <c r="MX77" s="80"/>
      <c r="MY77" s="80"/>
      <c r="MZ77" s="80"/>
      <c r="NA77" s="80"/>
      <c r="NB77" s="80"/>
      <c r="NC77" s="80"/>
      <c r="ND77" s="80"/>
      <c r="NE77" s="80"/>
      <c r="NF77" s="80"/>
      <c r="NG77" s="80"/>
      <c r="NH77" s="80"/>
      <c r="NI77" s="80"/>
      <c r="NJ77" s="80"/>
      <c r="NK77" s="80"/>
      <c r="NL77" s="80"/>
      <c r="NM77" s="80"/>
      <c r="NN77" s="80"/>
      <c r="NO77" s="80"/>
      <c r="NP77" s="80"/>
      <c r="NQ77" s="80"/>
      <c r="NR77" s="80"/>
      <c r="NS77" s="80"/>
      <c r="NT77" s="80"/>
      <c r="NU77" s="80"/>
      <c r="NV77" s="80"/>
      <c r="NW77" s="80"/>
      <c r="NX77" s="80"/>
      <c r="NY77" s="80"/>
      <c r="NZ77" s="80"/>
      <c r="OA77" s="80"/>
      <c r="OB77" s="80"/>
      <c r="OC77" s="80"/>
      <c r="OD77" s="80"/>
      <c r="OE77" s="80"/>
      <c r="OF77" s="80"/>
      <c r="OG77" s="80"/>
      <c r="OH77" s="80"/>
      <c r="OI77" s="80"/>
      <c r="OJ77" s="80"/>
      <c r="OK77" s="80"/>
      <c r="OL77" s="80"/>
      <c r="OM77" s="80"/>
      <c r="ON77" s="80"/>
      <c r="OO77" s="80"/>
      <c r="OP77" s="80"/>
      <c r="OQ77" s="80"/>
      <c r="OR77" s="80"/>
      <c r="OS77" s="80"/>
      <c r="OT77" s="80"/>
      <c r="OU77" s="80"/>
      <c r="OV77" s="80"/>
      <c r="OW77" s="80"/>
      <c r="OX77" s="80"/>
      <c r="OY77" s="80"/>
      <c r="OZ77" s="80"/>
      <c r="PA77" s="80"/>
      <c r="PB77" s="80"/>
      <c r="PC77" s="80"/>
      <c r="PD77" s="80"/>
      <c r="PE77" s="80"/>
      <c r="PF77" s="80"/>
      <c r="PG77" s="80"/>
      <c r="PH77" s="80"/>
      <c r="PI77" s="80"/>
      <c r="PJ77" s="80"/>
      <c r="PK77" s="80"/>
      <c r="PL77" s="80"/>
      <c r="PM77" s="80"/>
      <c r="PN77" s="80"/>
      <c r="PO77" s="80"/>
      <c r="PP77" s="80"/>
      <c r="PQ77" s="80"/>
      <c r="PR77" s="80"/>
      <c r="PS77" s="80"/>
      <c r="PT77" s="80"/>
      <c r="PU77" s="80"/>
      <c r="PV77" s="80"/>
      <c r="PW77" s="80"/>
      <c r="PX77" s="80"/>
      <c r="PY77" s="80"/>
      <c r="PZ77" s="80"/>
      <c r="QA77" s="80"/>
      <c r="QB77" s="80"/>
      <c r="QC77" s="80"/>
      <c r="QD77" s="80"/>
      <c r="QE77" s="80"/>
      <c r="QF77" s="80"/>
      <c r="QG77" s="80"/>
      <c r="QH77" s="80"/>
      <c r="QI77" s="80"/>
      <c r="QJ77" s="80"/>
      <c r="QK77" s="80"/>
      <c r="QL77" s="80"/>
      <c r="QM77" s="80"/>
      <c r="QN77" s="80"/>
      <c r="QO77" s="80"/>
      <c r="QP77" s="80"/>
      <c r="QQ77" s="80"/>
      <c r="QR77" s="80"/>
      <c r="QS77" s="80"/>
      <c r="QT77" s="80"/>
      <c r="QU77" s="80"/>
      <c r="QV77" s="80"/>
      <c r="QW77" s="80"/>
      <c r="QX77" s="80"/>
      <c r="QY77" s="80"/>
      <c r="QZ77" s="80"/>
      <c r="RA77" s="80"/>
      <c r="RB77" s="80"/>
      <c r="RC77" s="80"/>
      <c r="RD77" s="80"/>
      <c r="RE77" s="80"/>
      <c r="RF77" s="80"/>
      <c r="RG77" s="80"/>
      <c r="RH77" s="80"/>
      <c r="RI77" s="80"/>
      <c r="RJ77" s="80"/>
      <c r="RK77" s="80"/>
      <c r="RL77" s="80"/>
      <c r="RM77" s="80"/>
      <c r="RN77" s="80"/>
      <c r="RO77" s="80"/>
      <c r="RP77" s="80"/>
      <c r="RQ77" s="80"/>
      <c r="RR77" s="80"/>
      <c r="RS77" s="80"/>
      <c r="RT77" s="80"/>
      <c r="RU77" s="80"/>
      <c r="RV77" s="80"/>
      <c r="RW77" s="80"/>
      <c r="RX77" s="80"/>
      <c r="RY77" s="80"/>
      <c r="RZ77" s="80"/>
      <c r="SA77" s="80"/>
      <c r="SB77" s="80"/>
      <c r="SC77" s="80"/>
      <c r="SD77" s="80"/>
      <c r="SE77" s="80"/>
      <c r="SF77" s="80"/>
      <c r="SG77" s="80"/>
      <c r="SH77" s="80"/>
      <c r="SI77" s="80"/>
      <c r="SJ77" s="80"/>
      <c r="SK77" s="80"/>
      <c r="SL77" s="80"/>
      <c r="SM77" s="80"/>
      <c r="SN77" s="80"/>
      <c r="SO77" s="80"/>
      <c r="SP77" s="80"/>
      <c r="SQ77" s="80"/>
      <c r="SR77" s="80"/>
      <c r="SS77" s="80"/>
      <c r="ST77" s="80"/>
      <c r="SU77" s="80"/>
      <c r="SV77" s="80"/>
      <c r="SW77" s="80"/>
      <c r="SX77" s="80"/>
      <c r="SY77" s="80"/>
      <c r="SZ77" s="80"/>
      <c r="TA77" s="80"/>
      <c r="TB77" s="80"/>
      <c r="TC77" s="80"/>
      <c r="TD77" s="80"/>
      <c r="TE77" s="80"/>
      <c r="TF77" s="80"/>
      <c r="TG77" s="80"/>
      <c r="TH77" s="80"/>
      <c r="TI77" s="80"/>
      <c r="TJ77" s="80"/>
      <c r="TK77" s="80"/>
      <c r="TL77" s="80"/>
      <c r="TM77" s="80"/>
      <c r="TN77" s="80"/>
      <c r="TO77" s="80"/>
      <c r="TP77" s="80"/>
      <c r="TQ77" s="80"/>
      <c r="TR77" s="80"/>
      <c r="TS77" s="80"/>
      <c r="TT77" s="80"/>
      <c r="TU77" s="80"/>
      <c r="TV77" s="80"/>
      <c r="TW77" s="80"/>
      <c r="TX77" s="80"/>
      <c r="TY77" s="80"/>
      <c r="TZ77" s="80"/>
      <c r="UA77" s="80"/>
      <c r="UB77" s="80"/>
      <c r="UC77" s="80"/>
      <c r="UD77" s="80"/>
      <c r="UE77" s="80"/>
      <c r="UF77" s="80"/>
      <c r="UG77" s="80"/>
      <c r="UH77" s="80"/>
      <c r="UI77" s="80"/>
      <c r="UJ77" s="80"/>
      <c r="UK77" s="80"/>
      <c r="UL77" s="80"/>
      <c r="UM77" s="80"/>
      <c r="UN77" s="80"/>
      <c r="UO77" s="80"/>
      <c r="UP77" s="80"/>
      <c r="UQ77" s="80"/>
      <c r="UR77" s="80"/>
      <c r="US77" s="80"/>
      <c r="UT77" s="80"/>
      <c r="UU77" s="80"/>
      <c r="UV77" s="80"/>
      <c r="UW77" s="80"/>
      <c r="UX77" s="80"/>
      <c r="UY77" s="80"/>
      <c r="UZ77" s="80"/>
      <c r="VA77" s="80"/>
      <c r="VB77" s="80"/>
      <c r="VC77" s="80"/>
      <c r="VD77" s="80"/>
      <c r="VE77" s="80"/>
      <c r="VF77" s="80"/>
      <c r="VG77" s="80"/>
      <c r="VH77" s="80"/>
      <c r="VI77" s="80"/>
      <c r="VJ77" s="80"/>
      <c r="VK77" s="80"/>
      <c r="VL77" s="80"/>
      <c r="VM77" s="80"/>
      <c r="VN77" s="80"/>
      <c r="VO77" s="80"/>
      <c r="VP77" s="80"/>
      <c r="VQ77" s="80"/>
      <c r="VR77" s="80"/>
      <c r="VS77" s="80"/>
      <c r="VT77" s="80"/>
      <c r="VU77" s="80"/>
      <c r="VV77" s="80"/>
      <c r="VW77" s="80"/>
      <c r="VX77" s="80"/>
      <c r="VY77" s="80"/>
      <c r="VZ77" s="80"/>
      <c r="WA77" s="80"/>
      <c r="WB77" s="80"/>
      <c r="WC77" s="80"/>
      <c r="WD77" s="80"/>
      <c r="WE77" s="80"/>
      <c r="WF77" s="80"/>
      <c r="WG77" s="80"/>
      <c r="WH77" s="80"/>
      <c r="WI77" s="80"/>
      <c r="WJ77" s="80"/>
      <c r="WK77" s="80"/>
      <c r="WL77" s="80"/>
      <c r="WM77" s="80"/>
      <c r="WN77" s="80"/>
      <c r="WO77" s="80"/>
      <c r="WP77" s="80"/>
      <c r="WQ77" s="80"/>
      <c r="WR77" s="80"/>
      <c r="WS77" s="80"/>
      <c r="WT77" s="80"/>
      <c r="WU77" s="80"/>
      <c r="WV77" s="80"/>
      <c r="WW77" s="80"/>
      <c r="WX77" s="80"/>
      <c r="WY77" s="80"/>
      <c r="WZ77" s="80"/>
      <c r="XA77" s="80"/>
      <c r="XB77" s="80"/>
      <c r="XC77" s="80"/>
      <c r="XD77" s="80"/>
      <c r="XE77" s="80"/>
      <c r="XF77" s="80"/>
      <c r="XG77" s="80"/>
      <c r="XH77" s="80"/>
      <c r="XI77" s="80"/>
      <c r="XJ77" s="80"/>
      <c r="XK77" s="80"/>
      <c r="XL77" s="80"/>
      <c r="XM77" s="80"/>
      <c r="XN77" s="80"/>
      <c r="XO77" s="80"/>
      <c r="XP77" s="80"/>
      <c r="XQ77" s="80"/>
      <c r="XR77" s="80"/>
      <c r="XS77" s="80"/>
      <c r="XT77" s="80"/>
      <c r="XU77" s="80"/>
      <c r="XV77" s="80"/>
      <c r="XW77" s="80"/>
      <c r="XX77" s="80"/>
      <c r="XY77" s="80"/>
      <c r="XZ77" s="80"/>
      <c r="YA77" s="80"/>
      <c r="YB77" s="80"/>
      <c r="YC77" s="80"/>
      <c r="YD77" s="80"/>
      <c r="YE77" s="80"/>
      <c r="YF77" s="80"/>
      <c r="YG77" s="80"/>
      <c r="YH77" s="80"/>
      <c r="YI77" s="80"/>
      <c r="YJ77" s="80"/>
      <c r="YK77" s="80"/>
      <c r="YL77" s="80"/>
      <c r="YM77" s="80"/>
      <c r="YN77" s="80"/>
      <c r="YO77" s="80"/>
      <c r="YP77" s="80"/>
      <c r="YQ77" s="80"/>
      <c r="YR77" s="80"/>
      <c r="YS77" s="80"/>
      <c r="YT77" s="80"/>
      <c r="YU77" s="80"/>
      <c r="YV77" s="80"/>
      <c r="YW77" s="80"/>
      <c r="YX77" s="80"/>
      <c r="YY77" s="80"/>
      <c r="YZ77" s="80"/>
      <c r="ZA77" s="80"/>
      <c r="ZB77" s="80"/>
      <c r="ZC77" s="80"/>
      <c r="ZD77" s="80"/>
      <c r="ZE77" s="80"/>
      <c r="ZF77" s="80"/>
      <c r="ZG77" s="80"/>
      <c r="ZH77" s="80"/>
      <c r="ZI77" s="80"/>
      <c r="ZJ77" s="80"/>
      <c r="ZK77" s="80"/>
      <c r="ZL77" s="80"/>
      <c r="ZM77" s="80"/>
      <c r="ZN77" s="80"/>
      <c r="ZO77" s="80"/>
      <c r="ZP77" s="80"/>
      <c r="ZQ77" s="80"/>
      <c r="ZR77" s="80"/>
      <c r="ZS77" s="80"/>
      <c r="ZT77" s="80"/>
      <c r="ZU77" s="80"/>
      <c r="ZV77" s="80"/>
      <c r="ZW77" s="80"/>
      <c r="ZX77" s="80"/>
      <c r="ZY77" s="80"/>
      <c r="ZZ77" s="80"/>
      <c r="AAA77" s="80"/>
      <c r="AAB77" s="80"/>
      <c r="AAC77" s="80"/>
      <c r="AAD77" s="80"/>
      <c r="AAE77" s="80"/>
      <c r="AAF77" s="80"/>
      <c r="AAG77" s="80"/>
      <c r="AAH77" s="80"/>
      <c r="AAI77" s="80"/>
      <c r="AAJ77" s="80"/>
      <c r="AAK77" s="80"/>
      <c r="AAL77" s="80"/>
      <c r="AAM77" s="80"/>
      <c r="AAN77" s="80"/>
      <c r="AAO77" s="80"/>
      <c r="AAP77" s="80"/>
      <c r="AAQ77" s="80"/>
      <c r="AAR77" s="80"/>
      <c r="AAS77" s="80"/>
      <c r="AAT77" s="80"/>
      <c r="AAU77" s="80"/>
      <c r="AAV77" s="80"/>
      <c r="AAW77" s="80"/>
      <c r="AAX77" s="80"/>
      <c r="AAY77" s="80"/>
      <c r="AAZ77" s="80"/>
      <c r="ABA77" s="80"/>
      <c r="ABB77" s="80"/>
      <c r="ABC77" s="80"/>
      <c r="ABD77" s="80"/>
      <c r="ABE77" s="80"/>
      <c r="ABF77" s="80"/>
      <c r="ABG77" s="80"/>
      <c r="ABH77" s="80"/>
      <c r="ABI77" s="80"/>
      <c r="ABJ77" s="80"/>
      <c r="ABK77" s="80"/>
      <c r="ABL77" s="80"/>
      <c r="ABM77" s="80"/>
      <c r="ABN77" s="80"/>
      <c r="ABO77" s="80"/>
      <c r="ABP77" s="80"/>
      <c r="ABQ77" s="80"/>
      <c r="ABR77" s="80"/>
      <c r="ABS77" s="80"/>
      <c r="ABT77" s="80"/>
      <c r="ABU77" s="80"/>
      <c r="ABV77" s="80"/>
      <c r="ABW77" s="80"/>
      <c r="ABX77" s="80"/>
      <c r="ABY77" s="80"/>
      <c r="ABZ77" s="80"/>
      <c r="ACA77" s="80"/>
      <c r="ACB77" s="80"/>
      <c r="ACC77" s="80"/>
      <c r="ACD77" s="80"/>
      <c r="ACE77" s="80"/>
      <c r="ACF77" s="80"/>
      <c r="ACG77" s="80"/>
      <c r="ACH77" s="80"/>
      <c r="ACI77" s="80"/>
      <c r="ACJ77" s="80"/>
      <c r="ACK77" s="80"/>
      <c r="ACL77" s="80"/>
      <c r="ACM77" s="80"/>
      <c r="ACN77" s="80"/>
      <c r="ACO77" s="80"/>
      <c r="ACP77" s="80"/>
      <c r="ACQ77" s="80"/>
      <c r="ACR77" s="80"/>
      <c r="ACS77" s="80"/>
      <c r="ACT77" s="80"/>
      <c r="ACU77" s="80"/>
      <c r="ACV77" s="80"/>
      <c r="ACW77" s="80"/>
      <c r="ACX77" s="80"/>
      <c r="ACY77" s="80"/>
      <c r="ACZ77" s="80"/>
      <c r="ADA77" s="80"/>
      <c r="ADB77" s="80"/>
      <c r="ADC77" s="80"/>
      <c r="ADD77" s="80"/>
      <c r="ADE77" s="80"/>
      <c r="ADF77" s="80"/>
      <c r="ADG77" s="80"/>
      <c r="ADH77" s="80"/>
      <c r="ADI77" s="80"/>
      <c r="ADJ77" s="80"/>
      <c r="ADK77" s="80"/>
      <c r="ADL77" s="80"/>
      <c r="ADM77" s="80"/>
      <c r="ADN77" s="80"/>
      <c r="ADO77" s="80"/>
      <c r="ADP77" s="80"/>
      <c r="ADQ77" s="80"/>
      <c r="ADR77" s="80"/>
      <c r="ADS77" s="80"/>
      <c r="ADT77" s="80"/>
      <c r="ADU77" s="80"/>
      <c r="ADV77" s="80"/>
      <c r="ADW77" s="80"/>
      <c r="ADX77" s="80"/>
      <c r="ADY77" s="80"/>
      <c r="ADZ77" s="80"/>
      <c r="AEA77" s="80"/>
      <c r="AEB77" s="80"/>
      <c r="AEC77" s="80"/>
      <c r="AED77" s="80"/>
      <c r="AEE77" s="80"/>
      <c r="AEF77" s="80"/>
      <c r="AEG77" s="80"/>
      <c r="AEH77" s="80"/>
      <c r="AEI77" s="80"/>
      <c r="AEJ77" s="80"/>
      <c r="AEK77" s="80"/>
      <c r="AEL77" s="80"/>
      <c r="AEM77" s="80"/>
      <c r="AEN77" s="80"/>
      <c r="AEO77" s="80"/>
      <c r="AEP77" s="80"/>
      <c r="AEQ77" s="80"/>
      <c r="AER77" s="80"/>
      <c r="AES77" s="80"/>
      <c r="AET77" s="80"/>
      <c r="AEU77" s="80"/>
      <c r="AEV77" s="80"/>
      <c r="AEW77" s="80"/>
      <c r="AEX77" s="80"/>
      <c r="AEY77" s="80"/>
      <c r="AEZ77" s="80"/>
      <c r="AFA77" s="80"/>
      <c r="AFB77" s="80"/>
      <c r="AFC77" s="80"/>
      <c r="AFD77" s="80"/>
      <c r="AFE77" s="80"/>
      <c r="AFF77" s="80"/>
      <c r="AFG77" s="80"/>
      <c r="AFH77" s="80"/>
      <c r="AFI77" s="80"/>
      <c r="AFJ77" s="80"/>
      <c r="AFK77" s="80"/>
      <c r="AFL77" s="80"/>
      <c r="AFM77" s="80"/>
      <c r="AFN77" s="80"/>
      <c r="AFO77" s="80"/>
      <c r="AFP77" s="80"/>
      <c r="AFQ77" s="80"/>
      <c r="AFR77" s="80"/>
      <c r="AFS77" s="80"/>
      <c r="AFT77" s="80"/>
      <c r="AFU77" s="80"/>
      <c r="AFV77" s="80"/>
      <c r="AFW77" s="80"/>
      <c r="AFX77" s="80"/>
      <c r="AFY77" s="80"/>
      <c r="AFZ77" s="80"/>
      <c r="AGA77" s="80"/>
      <c r="AGB77" s="80"/>
      <c r="AGC77" s="80"/>
      <c r="AGD77" s="80"/>
      <c r="AGE77" s="80"/>
      <c r="AGF77" s="80"/>
      <c r="AGG77" s="80"/>
      <c r="AGH77" s="80"/>
      <c r="AGI77" s="80"/>
      <c r="AGJ77" s="80"/>
      <c r="AGK77" s="80"/>
      <c r="AGL77" s="80"/>
      <c r="AGM77" s="80"/>
      <c r="AGN77" s="80"/>
      <c r="AGO77" s="80"/>
      <c r="AGP77" s="80"/>
      <c r="AGQ77" s="80"/>
      <c r="AGR77" s="80"/>
      <c r="AGS77" s="80"/>
      <c r="AGT77" s="80"/>
      <c r="AGU77" s="80"/>
      <c r="AGV77" s="80"/>
      <c r="AGW77" s="80"/>
      <c r="AGX77" s="80"/>
      <c r="AGY77" s="80"/>
      <c r="AGZ77" s="80"/>
      <c r="AHA77" s="80"/>
      <c r="AHB77" s="80"/>
      <c r="AHC77" s="80"/>
      <c r="AHD77" s="80"/>
      <c r="AHE77" s="80"/>
      <c r="AHF77" s="80"/>
      <c r="AHG77" s="80"/>
      <c r="AHH77" s="80"/>
      <c r="AHI77" s="80"/>
      <c r="AHJ77" s="80"/>
      <c r="AHK77" s="80"/>
      <c r="AHL77" s="80"/>
      <c r="AHM77" s="80"/>
      <c r="AHN77" s="80"/>
      <c r="AHO77" s="80"/>
      <c r="AHP77" s="80"/>
      <c r="AHQ77" s="80"/>
      <c r="AHR77" s="80"/>
      <c r="AHS77" s="80"/>
      <c r="AHT77" s="80"/>
      <c r="AHU77" s="80"/>
      <c r="AHV77" s="80"/>
      <c r="AHW77" s="80"/>
      <c r="AHX77" s="80"/>
      <c r="AHY77" s="80"/>
      <c r="AHZ77" s="80"/>
      <c r="AIA77" s="80"/>
      <c r="AIB77" s="80"/>
      <c r="AIC77" s="80"/>
      <c r="AID77" s="80"/>
      <c r="AIE77" s="80"/>
      <c r="AIF77" s="80"/>
      <c r="AIG77" s="80"/>
      <c r="AIH77" s="80"/>
      <c r="AII77" s="80"/>
      <c r="AIJ77" s="80"/>
      <c r="AIK77" s="80"/>
      <c r="AIL77" s="80"/>
      <c r="AIM77" s="80"/>
      <c r="AIN77" s="80"/>
      <c r="AIO77" s="80"/>
      <c r="AIP77" s="80"/>
      <c r="AIQ77" s="80"/>
      <c r="AIR77" s="80"/>
      <c r="AIS77" s="80"/>
      <c r="AIT77" s="80"/>
      <c r="AIU77" s="80"/>
      <c r="AIV77" s="80"/>
      <c r="AIW77" s="80"/>
      <c r="AIX77" s="80"/>
      <c r="AIY77" s="80"/>
      <c r="AIZ77" s="80"/>
      <c r="AJA77" s="80"/>
      <c r="AJB77" s="80"/>
      <c r="AJC77" s="80"/>
      <c r="AJD77" s="80"/>
      <c r="AJE77" s="80"/>
      <c r="AJF77" s="80"/>
      <c r="AJG77" s="80"/>
      <c r="AJH77" s="80"/>
      <c r="AJI77" s="80"/>
      <c r="AJJ77" s="80"/>
      <c r="AJK77" s="80"/>
      <c r="AJL77" s="80"/>
      <c r="AJM77" s="80"/>
      <c r="AJN77" s="80"/>
      <c r="AJO77" s="80"/>
      <c r="AJP77" s="80"/>
      <c r="AJQ77" s="80"/>
      <c r="AJR77" s="80"/>
      <c r="AJS77" s="80"/>
      <c r="AJT77" s="80"/>
      <c r="AJU77" s="80"/>
      <c r="AJV77" s="80"/>
      <c r="AJW77" s="80"/>
      <c r="AJX77" s="80"/>
      <c r="AJY77" s="80"/>
      <c r="AJZ77" s="80"/>
      <c r="AKA77" s="80"/>
      <c r="AKB77" s="80"/>
      <c r="AKC77" s="80"/>
      <c r="AKD77" s="80"/>
      <c r="AKE77" s="80"/>
      <c r="AKF77" s="80"/>
      <c r="AKG77" s="80"/>
      <c r="AKH77" s="80"/>
      <c r="AKI77" s="80"/>
      <c r="AKJ77" s="80"/>
      <c r="AKK77" s="80"/>
      <c r="AKL77" s="80"/>
      <c r="AKM77" s="80"/>
      <c r="AKN77" s="80"/>
      <c r="AKO77" s="80"/>
      <c r="AKP77" s="80"/>
      <c r="AKQ77" s="80"/>
      <c r="AKR77" s="80"/>
      <c r="AKS77" s="80"/>
      <c r="AKT77" s="80"/>
      <c r="AKU77" s="80"/>
      <c r="AKV77" s="80"/>
      <c r="AKW77" s="80"/>
      <c r="AKX77" s="80"/>
      <c r="AKY77" s="80"/>
      <c r="AKZ77" s="80"/>
      <c r="ALA77" s="80"/>
      <c r="ALB77" s="80"/>
      <c r="ALC77" s="80"/>
      <c r="ALD77" s="80"/>
      <c r="ALE77" s="80"/>
      <c r="ALF77" s="80"/>
      <c r="ALG77" s="80"/>
      <c r="ALH77" s="80"/>
      <c r="ALI77" s="80"/>
      <c r="ALJ77" s="80"/>
      <c r="ALK77" s="80"/>
      <c r="ALL77" s="80"/>
      <c r="ALM77" s="80"/>
      <c r="ALN77" s="80"/>
      <c r="ALO77" s="80"/>
      <c r="ALP77" s="80"/>
      <c r="ALQ77" s="80"/>
      <c r="ALR77" s="80"/>
      <c r="ALS77" s="80"/>
      <c r="ALT77" s="80"/>
      <c r="ALU77" s="80"/>
      <c r="ALV77" s="80"/>
      <c r="ALW77" s="80"/>
      <c r="ALX77" s="80"/>
      <c r="ALY77" s="80"/>
      <c r="ALZ77" s="80"/>
      <c r="AMA77" s="80"/>
      <c r="AMB77" s="80"/>
      <c r="AMC77" s="80"/>
      <c r="AMD77" s="80"/>
      <c r="AME77" s="80"/>
      <c r="AMF77" s="80"/>
      <c r="AMG77" s="80"/>
      <c r="AMH77" s="80"/>
      <c r="AMI77" s="80"/>
      <c r="AMJ77" s="80"/>
      <c r="AMK77" s="80"/>
      <c r="AML77" s="80"/>
      <c r="AMM77" s="80"/>
      <c r="AMN77" s="80"/>
      <c r="AMO77" s="80"/>
      <c r="AMP77" s="80"/>
      <c r="AMQ77" s="80"/>
      <c r="AMR77" s="80"/>
      <c r="AMS77" s="80"/>
      <c r="AMT77" s="80"/>
      <c r="AMU77" s="80"/>
      <c r="AMV77" s="80"/>
      <c r="AMW77" s="80"/>
      <c r="AMX77" s="80"/>
      <c r="AMY77" s="80"/>
      <c r="AMZ77" s="80"/>
      <c r="ANA77" s="80"/>
      <c r="ANB77" s="80"/>
      <c r="ANC77" s="80"/>
      <c r="AND77" s="80"/>
      <c r="ANE77" s="80"/>
      <c r="ANF77" s="80"/>
      <c r="ANG77" s="80"/>
      <c r="ANH77" s="80"/>
      <c r="ANI77" s="80"/>
      <c r="ANJ77" s="80"/>
      <c r="ANK77" s="80"/>
      <c r="ANL77" s="80"/>
      <c r="ANM77" s="80"/>
      <c r="ANN77" s="80"/>
      <c r="ANO77" s="80"/>
      <c r="ANP77" s="80"/>
      <c r="ANQ77" s="80"/>
      <c r="ANR77" s="80"/>
      <c r="ANS77" s="80"/>
      <c r="ANT77" s="80"/>
      <c r="ANU77" s="80"/>
      <c r="ANV77" s="80"/>
      <c r="ANW77" s="80"/>
      <c r="ANX77" s="80"/>
      <c r="ANY77" s="80"/>
      <c r="ANZ77" s="80"/>
      <c r="AOA77" s="80"/>
      <c r="AOB77" s="80"/>
      <c r="AOC77" s="80"/>
      <c r="AOD77" s="80"/>
      <c r="AOE77" s="80"/>
      <c r="AOF77" s="80"/>
      <c r="AOG77" s="80"/>
      <c r="AOH77" s="80"/>
      <c r="AOI77" s="80"/>
      <c r="AOJ77" s="80"/>
      <c r="AOK77" s="80"/>
      <c r="AOL77" s="80"/>
      <c r="AOM77" s="80"/>
      <c r="AON77" s="80"/>
      <c r="AOO77" s="80"/>
      <c r="AOP77" s="80"/>
      <c r="AOQ77" s="80"/>
      <c r="AOR77" s="80"/>
      <c r="AOS77" s="80"/>
      <c r="AOT77" s="80"/>
      <c r="AOU77" s="80"/>
      <c r="AOV77" s="80"/>
      <c r="AOW77" s="80"/>
      <c r="AOX77" s="80"/>
      <c r="AOY77" s="80"/>
      <c r="AOZ77" s="80"/>
      <c r="APA77" s="80"/>
      <c r="APB77" s="80"/>
      <c r="APC77" s="80"/>
      <c r="APD77" s="80"/>
      <c r="APE77" s="80"/>
      <c r="APF77" s="80"/>
      <c r="APG77" s="80"/>
      <c r="APH77" s="80"/>
      <c r="API77" s="80"/>
      <c r="APJ77" s="80"/>
      <c r="APK77" s="80"/>
      <c r="APL77" s="80"/>
      <c r="APM77" s="80"/>
      <c r="APN77" s="80"/>
      <c r="APO77" s="80"/>
      <c r="APP77" s="80"/>
      <c r="APQ77" s="80"/>
      <c r="APR77" s="80"/>
      <c r="APS77" s="80"/>
      <c r="APT77" s="80"/>
      <c r="APU77" s="80"/>
      <c r="APV77" s="80"/>
      <c r="APW77" s="80"/>
      <c r="APX77" s="80"/>
      <c r="APY77" s="80"/>
      <c r="APZ77" s="80"/>
      <c r="AQA77" s="80"/>
      <c r="AQB77" s="80"/>
      <c r="AQC77" s="80"/>
      <c r="AQD77" s="80"/>
      <c r="AQE77" s="80"/>
      <c r="AQF77" s="80"/>
      <c r="AQG77" s="80"/>
      <c r="AQH77" s="80"/>
      <c r="AQI77" s="80"/>
      <c r="AQJ77" s="80"/>
      <c r="AQK77" s="80"/>
      <c r="AQL77" s="80"/>
      <c r="AQM77" s="80"/>
      <c r="AQN77" s="80"/>
      <c r="AQO77" s="80"/>
      <c r="AQP77" s="80"/>
      <c r="AQQ77" s="80"/>
      <c r="AQR77" s="80"/>
      <c r="AQS77" s="80"/>
      <c r="AQT77" s="80"/>
      <c r="AQU77" s="80"/>
      <c r="AQV77" s="80"/>
      <c r="AQW77" s="80"/>
      <c r="AQX77" s="80"/>
      <c r="AQY77" s="80"/>
      <c r="AQZ77" s="80"/>
      <c r="ARA77" s="80"/>
      <c r="ARB77" s="80"/>
      <c r="ARC77" s="80"/>
      <c r="ARD77" s="80"/>
      <c r="ARE77" s="80"/>
      <c r="ARF77" s="80"/>
      <c r="ARG77" s="80"/>
      <c r="ARH77" s="80"/>
      <c r="ARI77" s="80"/>
      <c r="ARJ77" s="80"/>
      <c r="ARK77" s="80"/>
      <c r="ARL77" s="80"/>
      <c r="ARM77" s="80"/>
      <c r="ARN77" s="80"/>
      <c r="ARO77" s="80"/>
      <c r="ARP77" s="80"/>
      <c r="ARQ77" s="80"/>
      <c r="ARR77" s="80"/>
      <c r="ARS77" s="80"/>
      <c r="ART77" s="80"/>
      <c r="ARU77" s="80"/>
      <c r="ARV77" s="80"/>
      <c r="ARW77" s="80"/>
      <c r="ARX77" s="80"/>
      <c r="ARY77" s="80"/>
      <c r="ARZ77" s="80"/>
      <c r="ASA77" s="80"/>
      <c r="ASB77" s="80"/>
      <c r="ASC77" s="80"/>
      <c r="ASD77" s="80"/>
      <c r="ASE77" s="80"/>
      <c r="ASF77" s="80"/>
      <c r="ASG77" s="80"/>
      <c r="ASH77" s="80"/>
      <c r="ASI77" s="80"/>
      <c r="ASJ77" s="80"/>
      <c r="ASK77" s="80"/>
      <c r="ASL77" s="80"/>
      <c r="ASM77" s="80"/>
      <c r="ASN77" s="80"/>
      <c r="ASO77" s="80"/>
      <c r="ASP77" s="80"/>
      <c r="ASQ77" s="80"/>
      <c r="ASR77" s="80"/>
      <c r="ASS77" s="80"/>
      <c r="AST77" s="80"/>
      <c r="ASU77" s="80"/>
      <c r="ASV77" s="80"/>
      <c r="ASW77" s="80"/>
      <c r="ASX77" s="80"/>
      <c r="ASY77" s="80"/>
      <c r="ASZ77" s="80"/>
      <c r="ATA77" s="80"/>
      <c r="ATB77" s="80"/>
      <c r="ATC77" s="80"/>
      <c r="ATD77" s="80"/>
      <c r="ATE77" s="80"/>
      <c r="ATF77" s="80"/>
      <c r="ATG77" s="80"/>
      <c r="ATH77" s="80"/>
      <c r="ATI77" s="80"/>
      <c r="ATJ77" s="80"/>
      <c r="ATK77" s="80"/>
      <c r="ATL77" s="80"/>
      <c r="ATM77" s="80"/>
      <c r="ATN77" s="80"/>
      <c r="ATO77" s="80"/>
      <c r="ATP77" s="80"/>
      <c r="ATQ77" s="80"/>
      <c r="ATR77" s="80"/>
      <c r="ATS77" s="80"/>
      <c r="ATT77" s="80"/>
      <c r="ATU77" s="80"/>
      <c r="ATV77" s="80"/>
      <c r="ATW77" s="80"/>
      <c r="ATX77" s="80"/>
      <c r="ATY77" s="80"/>
      <c r="ATZ77" s="80"/>
      <c r="AUA77" s="80"/>
      <c r="AUB77" s="80"/>
      <c r="AUC77" s="80"/>
      <c r="AUD77" s="80"/>
      <c r="AUE77" s="80"/>
      <c r="AUF77" s="80"/>
      <c r="AUG77" s="80"/>
      <c r="AUH77" s="80"/>
      <c r="AUI77" s="80"/>
      <c r="AUJ77" s="80"/>
      <c r="AUK77" s="80"/>
      <c r="AUL77" s="80"/>
      <c r="AUM77" s="80"/>
      <c r="AUN77" s="80"/>
      <c r="AUO77" s="80"/>
      <c r="AUP77" s="80"/>
      <c r="AUQ77" s="80"/>
      <c r="AUR77" s="80"/>
      <c r="AUS77" s="80"/>
      <c r="AUT77" s="80"/>
      <c r="AUU77" s="80"/>
      <c r="AUV77" s="80"/>
      <c r="AUW77" s="80"/>
      <c r="AUX77" s="80"/>
      <c r="AUY77" s="80"/>
      <c r="AUZ77" s="80"/>
      <c r="AVA77" s="80"/>
      <c r="AVB77" s="80"/>
      <c r="AVC77" s="80"/>
      <c r="AVD77" s="80"/>
      <c r="AVE77" s="80"/>
      <c r="AVF77" s="80"/>
      <c r="AVG77" s="80"/>
      <c r="AVH77" s="80"/>
      <c r="AVI77" s="80"/>
      <c r="AVJ77" s="80"/>
      <c r="AVK77" s="80"/>
      <c r="AVL77" s="80"/>
      <c r="AVM77" s="80"/>
      <c r="AVN77" s="80"/>
      <c r="AVO77" s="80"/>
      <c r="AVP77" s="80"/>
      <c r="AVQ77" s="80"/>
      <c r="AVR77" s="80"/>
      <c r="AVS77" s="80"/>
      <c r="AVT77" s="80"/>
      <c r="AVU77" s="80"/>
      <c r="AVV77" s="80"/>
      <c r="AVW77" s="80"/>
      <c r="AVX77" s="80"/>
      <c r="AVY77" s="80"/>
      <c r="AVZ77" s="80"/>
      <c r="AWA77" s="80"/>
      <c r="AWB77" s="80"/>
      <c r="AWC77" s="80"/>
      <c r="AWD77" s="80"/>
      <c r="AWE77" s="80"/>
      <c r="AWF77" s="80"/>
      <c r="AWG77" s="80"/>
      <c r="AWH77" s="80"/>
      <c r="AWI77" s="80"/>
      <c r="AWJ77" s="80"/>
      <c r="AWK77" s="80"/>
      <c r="AWL77" s="80"/>
      <c r="AWM77" s="80"/>
      <c r="AWN77" s="80"/>
      <c r="AWO77" s="80"/>
      <c r="AWP77" s="80"/>
      <c r="AWQ77" s="80"/>
      <c r="AWR77" s="80"/>
      <c r="AWS77" s="80"/>
      <c r="AWT77" s="80"/>
      <c r="AWU77" s="80"/>
      <c r="AWV77" s="80"/>
      <c r="AWW77" s="80"/>
      <c r="AWX77" s="80"/>
      <c r="AWY77" s="80"/>
      <c r="AWZ77" s="80"/>
      <c r="AXA77" s="80"/>
      <c r="AXB77" s="80"/>
      <c r="AXC77" s="80"/>
      <c r="AXD77" s="80"/>
      <c r="AXE77" s="80"/>
      <c r="AXF77" s="80"/>
      <c r="AXG77" s="80"/>
      <c r="AXH77" s="80"/>
      <c r="AXI77" s="80"/>
      <c r="AXJ77" s="80"/>
      <c r="AXK77" s="80"/>
      <c r="AXL77" s="80"/>
      <c r="AXM77" s="80"/>
      <c r="AXN77" s="80"/>
      <c r="AXO77" s="80"/>
      <c r="AXP77" s="80"/>
      <c r="AXQ77" s="80"/>
      <c r="AXR77" s="80"/>
      <c r="AXS77" s="80"/>
      <c r="AXT77" s="80"/>
      <c r="AXU77" s="80"/>
      <c r="AXV77" s="80"/>
      <c r="AXW77" s="80"/>
      <c r="AXX77" s="80"/>
      <c r="AXY77" s="80"/>
      <c r="AXZ77" s="80"/>
      <c r="AYA77" s="80"/>
      <c r="AYB77" s="80"/>
      <c r="AYC77" s="80"/>
      <c r="AYD77" s="80"/>
      <c r="AYE77" s="80"/>
      <c r="AYF77" s="80"/>
      <c r="AYG77" s="80"/>
      <c r="AYH77" s="80"/>
      <c r="AYI77" s="80"/>
      <c r="AYJ77" s="80"/>
      <c r="AYK77" s="80"/>
      <c r="AYL77" s="80"/>
      <c r="AYM77" s="80"/>
      <c r="AYN77" s="80"/>
      <c r="AYO77" s="80"/>
      <c r="AYP77" s="80"/>
      <c r="AYQ77" s="80"/>
      <c r="AYR77" s="80"/>
      <c r="AYS77" s="80"/>
      <c r="AYT77" s="80"/>
      <c r="AYU77" s="80"/>
      <c r="AYV77" s="80"/>
      <c r="AYW77" s="80"/>
      <c r="AYX77" s="80"/>
      <c r="AYY77" s="80"/>
      <c r="AYZ77" s="80"/>
      <c r="AZA77" s="80"/>
      <c r="AZB77" s="80"/>
      <c r="AZC77" s="80"/>
      <c r="AZD77" s="80"/>
      <c r="AZE77" s="80"/>
      <c r="AZF77" s="80"/>
      <c r="AZG77" s="80"/>
      <c r="AZH77" s="80"/>
      <c r="AZI77" s="80"/>
      <c r="AZJ77" s="80"/>
      <c r="AZK77" s="80"/>
      <c r="AZL77" s="80"/>
      <c r="AZM77" s="80"/>
      <c r="AZN77" s="80"/>
      <c r="AZO77" s="80"/>
      <c r="AZP77" s="80"/>
      <c r="AZQ77" s="80"/>
      <c r="AZR77" s="80"/>
      <c r="AZS77" s="80"/>
      <c r="AZT77" s="80"/>
      <c r="AZU77" s="80"/>
      <c r="AZV77" s="80"/>
      <c r="AZW77" s="80"/>
      <c r="AZX77" s="80"/>
      <c r="AZY77" s="80"/>
      <c r="AZZ77" s="80"/>
      <c r="BAA77" s="80"/>
      <c r="BAB77" s="80"/>
      <c r="BAC77" s="80"/>
      <c r="BAD77" s="80"/>
      <c r="BAE77" s="80"/>
      <c r="BAF77" s="80"/>
      <c r="BAG77" s="80"/>
      <c r="BAH77" s="80"/>
      <c r="BAI77" s="80"/>
      <c r="BAJ77" s="80"/>
      <c r="BAK77" s="80"/>
      <c r="BAL77" s="80"/>
      <c r="BAM77" s="80"/>
      <c r="BAN77" s="80"/>
      <c r="BAO77" s="80"/>
      <c r="BAP77" s="80"/>
      <c r="BAQ77" s="80"/>
      <c r="BAR77" s="80"/>
      <c r="BAS77" s="80"/>
      <c r="BAT77" s="80"/>
      <c r="BAU77" s="80"/>
      <c r="BAV77" s="80"/>
      <c r="BAW77" s="80"/>
      <c r="BAX77" s="80"/>
      <c r="BAY77" s="80"/>
      <c r="BAZ77" s="80"/>
      <c r="BBA77" s="80"/>
      <c r="BBB77" s="80"/>
      <c r="BBC77" s="80"/>
      <c r="BBD77" s="80"/>
      <c r="BBE77" s="80"/>
      <c r="BBF77" s="80"/>
      <c r="BBG77" s="80"/>
      <c r="BBH77" s="80"/>
      <c r="BBI77" s="80"/>
      <c r="BBJ77" s="80"/>
      <c r="BBK77" s="80"/>
      <c r="BBL77" s="80"/>
      <c r="BBM77" s="80"/>
      <c r="BBN77" s="80"/>
      <c r="BBO77" s="80"/>
      <c r="BBP77" s="80"/>
      <c r="BBQ77" s="80"/>
      <c r="BBR77" s="80"/>
      <c r="BBS77" s="80"/>
      <c r="BBT77" s="80"/>
      <c r="BBU77" s="80"/>
      <c r="BBV77" s="80"/>
      <c r="BBW77" s="80"/>
      <c r="BBX77" s="80"/>
      <c r="BBY77" s="80"/>
      <c r="BBZ77" s="80"/>
      <c r="BCA77" s="80"/>
      <c r="BCB77" s="80"/>
      <c r="BCC77" s="80"/>
      <c r="BCD77" s="80"/>
      <c r="BCE77" s="80"/>
      <c r="BCF77" s="80"/>
      <c r="BCG77" s="80"/>
      <c r="BCH77" s="80"/>
      <c r="BCI77" s="80"/>
      <c r="BCJ77" s="80"/>
      <c r="BCK77" s="80"/>
      <c r="BCL77" s="80"/>
      <c r="BCM77" s="80"/>
      <c r="BCN77" s="80"/>
      <c r="BCO77" s="80"/>
      <c r="BCP77" s="80"/>
      <c r="BCQ77" s="80"/>
      <c r="BCR77" s="80"/>
      <c r="BCS77" s="80"/>
      <c r="BCT77" s="80"/>
      <c r="BCU77" s="80"/>
      <c r="BCV77" s="80"/>
      <c r="BCW77" s="80"/>
      <c r="BCX77" s="80"/>
      <c r="BCY77" s="80"/>
      <c r="BCZ77" s="80"/>
      <c r="BDA77" s="80"/>
      <c r="BDB77" s="80"/>
      <c r="BDC77" s="80"/>
      <c r="BDD77" s="80"/>
      <c r="BDE77" s="80"/>
      <c r="BDF77" s="80"/>
      <c r="BDG77" s="80"/>
      <c r="BDH77" s="80"/>
      <c r="BDI77" s="80"/>
      <c r="BDJ77" s="80"/>
      <c r="BDK77" s="80"/>
      <c r="BDL77" s="80"/>
      <c r="BDM77" s="80"/>
      <c r="BDN77" s="80"/>
      <c r="BDO77" s="80"/>
      <c r="BDP77" s="80"/>
      <c r="BDQ77" s="80"/>
      <c r="BDR77" s="80"/>
      <c r="BDS77" s="80"/>
      <c r="BDT77" s="80"/>
      <c r="BDU77" s="80"/>
      <c r="BDV77" s="80"/>
      <c r="BDW77" s="80"/>
      <c r="BDX77" s="80"/>
      <c r="BDY77" s="80"/>
      <c r="BDZ77" s="80"/>
      <c r="BEA77" s="80"/>
      <c r="BEB77" s="80"/>
      <c r="BEC77" s="80"/>
      <c r="BED77" s="80"/>
      <c r="BEE77" s="80"/>
      <c r="BEF77" s="80"/>
      <c r="BEG77" s="80"/>
      <c r="BEH77" s="80"/>
      <c r="BEI77" s="80"/>
      <c r="BEJ77" s="80"/>
      <c r="BEK77" s="80"/>
      <c r="BEL77" s="80"/>
      <c r="BEM77" s="80"/>
      <c r="BEN77" s="80"/>
      <c r="BEO77" s="80"/>
      <c r="BEP77" s="80"/>
      <c r="BEQ77" s="80"/>
      <c r="BER77" s="80"/>
      <c r="BES77" s="80"/>
      <c r="BET77" s="80"/>
      <c r="BEU77" s="80"/>
      <c r="BEV77" s="80"/>
      <c r="BEW77" s="80"/>
      <c r="BEX77" s="80"/>
      <c r="BEY77" s="80"/>
      <c r="BEZ77" s="80"/>
      <c r="BFA77" s="80"/>
      <c r="BFB77" s="80"/>
      <c r="BFC77" s="80"/>
      <c r="BFD77" s="80"/>
      <c r="BFE77" s="80"/>
      <c r="BFF77" s="80"/>
      <c r="BFG77" s="80"/>
      <c r="BFH77" s="80"/>
      <c r="BFI77" s="80"/>
      <c r="BFJ77" s="80"/>
      <c r="BFK77" s="80"/>
      <c r="BFL77" s="80"/>
      <c r="BFM77" s="80"/>
      <c r="BFN77" s="80"/>
      <c r="BFO77" s="80"/>
      <c r="BFP77" s="80"/>
      <c r="BFQ77" s="80"/>
      <c r="BFR77" s="80"/>
      <c r="BFS77" s="80"/>
      <c r="BFT77" s="80"/>
      <c r="BFU77" s="80"/>
      <c r="BFV77" s="80"/>
      <c r="BFW77" s="80"/>
      <c r="BFX77" s="80"/>
      <c r="BFY77" s="80"/>
      <c r="BFZ77" s="80"/>
      <c r="BGA77" s="80"/>
      <c r="BGB77" s="80"/>
      <c r="BGC77" s="80"/>
      <c r="BGD77" s="80"/>
      <c r="BGE77" s="80"/>
      <c r="BGF77" s="80"/>
      <c r="BGG77" s="80"/>
      <c r="BGH77" s="80"/>
      <c r="BGI77" s="80"/>
      <c r="BGJ77" s="80"/>
      <c r="BGK77" s="80"/>
      <c r="BGL77" s="80"/>
      <c r="BGM77" s="80"/>
      <c r="BGN77" s="80"/>
      <c r="BGO77" s="80"/>
      <c r="BGP77" s="80"/>
      <c r="BGQ77" s="80"/>
      <c r="BGR77" s="80"/>
      <c r="BGS77" s="80"/>
      <c r="BGT77" s="80"/>
      <c r="BGU77" s="80"/>
      <c r="BGV77" s="80"/>
      <c r="BGW77" s="80"/>
      <c r="BGX77" s="80"/>
      <c r="BGY77" s="80"/>
      <c r="BGZ77" s="80"/>
      <c r="BHA77" s="80"/>
      <c r="BHB77" s="80"/>
      <c r="BHC77" s="80"/>
      <c r="BHD77" s="80"/>
      <c r="BHE77" s="80"/>
      <c r="BHF77" s="80"/>
      <c r="BHG77" s="80"/>
      <c r="BHH77" s="80"/>
      <c r="BHI77" s="80"/>
      <c r="BHJ77" s="80"/>
      <c r="BHK77" s="80"/>
      <c r="BHL77" s="80"/>
      <c r="BHM77" s="80"/>
      <c r="BHN77" s="80"/>
      <c r="BHO77" s="80"/>
      <c r="BHP77" s="80"/>
      <c r="BHQ77" s="80"/>
      <c r="BHR77" s="80"/>
      <c r="BHS77" s="80"/>
      <c r="BHT77" s="80"/>
      <c r="BHU77" s="80"/>
      <c r="BHV77" s="80"/>
      <c r="BHW77" s="80"/>
      <c r="BHX77" s="80"/>
      <c r="BHY77" s="80"/>
      <c r="BHZ77" s="80"/>
      <c r="BIA77" s="80"/>
      <c r="BIB77" s="80"/>
      <c r="BIC77" s="80"/>
      <c r="BID77" s="80"/>
      <c r="BIE77" s="80"/>
      <c r="BIF77" s="80"/>
      <c r="BIG77" s="80"/>
      <c r="BIH77" s="80"/>
      <c r="BII77" s="80"/>
      <c r="BIJ77" s="80"/>
      <c r="BIK77" s="80"/>
      <c r="BIL77" s="80"/>
      <c r="BIM77" s="80"/>
      <c r="BIN77" s="80"/>
      <c r="BIO77" s="80"/>
      <c r="BIP77" s="80"/>
      <c r="BIQ77" s="80"/>
      <c r="BIR77" s="80"/>
      <c r="BIS77" s="80"/>
      <c r="BIT77" s="80"/>
      <c r="BIU77" s="80"/>
      <c r="BIV77" s="80"/>
      <c r="BIW77" s="80"/>
      <c r="BIX77" s="80"/>
      <c r="BIY77" s="80"/>
      <c r="BIZ77" s="80"/>
      <c r="BJA77" s="80"/>
      <c r="BJB77" s="80"/>
      <c r="BJC77" s="80"/>
      <c r="BJD77" s="80"/>
      <c r="BJE77" s="80"/>
      <c r="BJF77" s="80"/>
      <c r="BJG77" s="80"/>
      <c r="BJH77" s="80"/>
      <c r="BJI77" s="80"/>
      <c r="BJJ77" s="80"/>
      <c r="BJK77" s="80"/>
      <c r="BJL77" s="80"/>
      <c r="BJM77" s="80"/>
      <c r="BJN77" s="80"/>
      <c r="BJO77" s="80"/>
      <c r="BJP77" s="80"/>
      <c r="BJQ77" s="80"/>
      <c r="BJR77" s="80"/>
      <c r="BJS77" s="80"/>
      <c r="BJT77" s="80"/>
      <c r="BJU77" s="80"/>
      <c r="BJV77" s="80"/>
      <c r="BJW77" s="80"/>
      <c r="BJX77" s="80"/>
      <c r="BJY77" s="80"/>
      <c r="BJZ77" s="80"/>
      <c r="BKA77" s="80"/>
      <c r="BKB77" s="80"/>
      <c r="BKC77" s="80"/>
      <c r="BKD77" s="80"/>
      <c r="BKE77" s="80"/>
      <c r="BKF77" s="80"/>
      <c r="BKG77" s="80"/>
      <c r="BKH77" s="80"/>
      <c r="BKI77" s="80"/>
      <c r="BKJ77" s="80"/>
      <c r="BKK77" s="80"/>
      <c r="BKL77" s="80"/>
      <c r="BKM77" s="80"/>
      <c r="BKN77" s="80"/>
      <c r="BKO77" s="80"/>
      <c r="BKP77" s="80"/>
      <c r="BKQ77" s="80"/>
      <c r="BKR77" s="80"/>
      <c r="BKS77" s="80"/>
      <c r="BKT77" s="80"/>
      <c r="BKU77" s="80"/>
      <c r="BKV77" s="80"/>
      <c r="BKW77" s="80"/>
      <c r="BKX77" s="80"/>
      <c r="BKY77" s="80"/>
      <c r="BKZ77" s="80"/>
      <c r="BLA77" s="80"/>
      <c r="BLB77" s="80"/>
      <c r="BLC77" s="80"/>
      <c r="BLD77" s="80"/>
      <c r="BLE77" s="80"/>
      <c r="BLF77" s="80"/>
      <c r="BLG77" s="80"/>
      <c r="BLH77" s="80"/>
      <c r="BLI77" s="80"/>
      <c r="BLJ77" s="80"/>
      <c r="BLK77" s="80"/>
      <c r="BLL77" s="80"/>
      <c r="BLM77" s="80"/>
      <c r="BLN77" s="80"/>
      <c r="BLO77" s="80"/>
      <c r="BLP77" s="80"/>
      <c r="BLQ77" s="80"/>
      <c r="BLR77" s="80"/>
      <c r="BLS77" s="80"/>
      <c r="BLT77" s="80"/>
      <c r="BLU77" s="80"/>
      <c r="BLV77" s="80"/>
      <c r="BLW77" s="80"/>
      <c r="BLX77" s="80"/>
      <c r="BLY77" s="80"/>
      <c r="BLZ77" s="80"/>
      <c r="BMA77" s="80"/>
      <c r="BMB77" s="80"/>
      <c r="BMC77" s="80"/>
      <c r="BMD77" s="80"/>
      <c r="BME77" s="80"/>
      <c r="BMF77" s="80"/>
      <c r="BMG77" s="80"/>
      <c r="BMH77" s="80"/>
      <c r="BMI77" s="80"/>
      <c r="BMJ77" s="80"/>
      <c r="BMK77" s="80"/>
      <c r="BML77" s="80"/>
      <c r="BMM77" s="80"/>
      <c r="BMN77" s="80"/>
      <c r="BMO77" s="80"/>
      <c r="BMP77" s="80"/>
      <c r="BMQ77" s="80"/>
      <c r="BMR77" s="80"/>
      <c r="BMS77" s="80"/>
      <c r="BMT77" s="80"/>
      <c r="BMU77" s="80"/>
      <c r="BMV77" s="80"/>
      <c r="BMW77" s="80"/>
      <c r="BMX77" s="80"/>
      <c r="BMY77" s="80"/>
      <c r="BMZ77" s="80"/>
      <c r="BNA77" s="80"/>
      <c r="BNB77" s="80"/>
      <c r="BNC77" s="80"/>
      <c r="BND77" s="80"/>
      <c r="BNE77" s="80"/>
      <c r="BNF77" s="80"/>
      <c r="BNG77" s="80"/>
      <c r="BNH77" s="80"/>
      <c r="BNI77" s="80"/>
      <c r="BNJ77" s="80"/>
      <c r="BNK77" s="80"/>
      <c r="BNL77" s="80"/>
      <c r="BNM77" s="80"/>
      <c r="BNN77" s="80"/>
      <c r="BNO77" s="80"/>
      <c r="BNP77" s="80"/>
      <c r="BNQ77" s="80"/>
      <c r="BNR77" s="80"/>
      <c r="BNS77" s="80"/>
      <c r="BNT77" s="80"/>
      <c r="BNU77" s="80"/>
      <c r="BNV77" s="80"/>
      <c r="BNW77" s="80"/>
      <c r="BNX77" s="80"/>
      <c r="BNY77" s="80"/>
      <c r="BNZ77" s="80"/>
      <c r="BOA77" s="80"/>
      <c r="BOB77" s="112"/>
    </row>
    <row r="78" spans="1:1744" ht="20.25" customHeight="1" x14ac:dyDescent="0.3">
      <c r="A78" s="110"/>
      <c r="B78" s="414"/>
      <c r="C78" s="414"/>
      <c r="D78" s="414"/>
      <c r="E78" s="415" t="str">
        <f>E36</f>
        <v>Contractor</v>
      </c>
      <c r="F78" s="415"/>
      <c r="G78" s="415"/>
      <c r="H78" s="415"/>
      <c r="I78" s="415"/>
      <c r="J78" s="415"/>
      <c r="K78" s="415"/>
      <c r="L78" s="415"/>
      <c r="M78" s="415"/>
      <c r="N78" s="415" t="str">
        <f>N36</f>
        <v>Consultant</v>
      </c>
      <c r="O78" s="415"/>
      <c r="P78" s="415"/>
      <c r="Q78" s="415"/>
      <c r="R78" s="415"/>
      <c r="S78" s="415"/>
      <c r="T78" s="415"/>
      <c r="U78" s="415"/>
      <c r="V78" s="415"/>
      <c r="W78" s="415"/>
      <c r="X78" s="111"/>
      <c r="Z78" s="147"/>
      <c r="AR78" s="138"/>
    </row>
    <row r="79" spans="1:1744" ht="20.25" customHeight="1" x14ac:dyDescent="0.3">
      <c r="A79" s="110"/>
      <c r="B79" s="414"/>
      <c r="C79" s="414"/>
      <c r="D79" s="414"/>
      <c r="E79" s="419" t="str">
        <f>E37</f>
        <v>Tested By</v>
      </c>
      <c r="F79" s="419"/>
      <c r="G79" s="419"/>
      <c r="H79" s="420"/>
      <c r="I79" s="421" t="str">
        <f>I37</f>
        <v>Checked By</v>
      </c>
      <c r="J79" s="419"/>
      <c r="K79" s="419"/>
      <c r="L79" s="419"/>
      <c r="M79" s="419"/>
      <c r="N79" s="421" t="str">
        <f>N37</f>
        <v>Checked By / Witnessed By</v>
      </c>
      <c r="O79" s="419"/>
      <c r="P79" s="419"/>
      <c r="Q79" s="419"/>
      <c r="R79" s="419"/>
      <c r="S79" s="421" t="str">
        <f>S37</f>
        <v>Reviewed By</v>
      </c>
      <c r="T79" s="419"/>
      <c r="U79" s="419"/>
      <c r="V79" s="419"/>
      <c r="W79" s="420"/>
      <c r="X79" s="111"/>
      <c r="Z79" s="147"/>
      <c r="AR79" s="138"/>
    </row>
    <row r="80" spans="1:1744" ht="30" customHeight="1" x14ac:dyDescent="0.3">
      <c r="A80" s="110"/>
      <c r="B80" s="416" t="s">
        <v>16</v>
      </c>
      <c r="C80" s="416"/>
      <c r="D80" s="416"/>
      <c r="E80" s="414" t="str">
        <f>E38</f>
        <v>Enetr Name</v>
      </c>
      <c r="F80" s="414"/>
      <c r="G80" s="414"/>
      <c r="H80" s="414"/>
      <c r="I80" s="414" t="str">
        <f>I38</f>
        <v>Enter Name</v>
      </c>
      <c r="J80" s="414"/>
      <c r="K80" s="414"/>
      <c r="L80" s="414"/>
      <c r="M80" s="414"/>
      <c r="N80" s="414" t="str">
        <f>N38</f>
        <v>Enter Name</v>
      </c>
      <c r="O80" s="414"/>
      <c r="P80" s="414"/>
      <c r="Q80" s="414"/>
      <c r="R80" s="414"/>
      <c r="S80" s="417" t="str">
        <f>S38</f>
        <v>Enetr Name</v>
      </c>
      <c r="T80" s="417"/>
      <c r="U80" s="417"/>
      <c r="V80" s="417"/>
      <c r="W80" s="417"/>
      <c r="X80" s="111"/>
      <c r="Z80" s="147"/>
      <c r="AR80" s="138"/>
    </row>
    <row r="81" spans="1:44" ht="30" customHeight="1" x14ac:dyDescent="0.3">
      <c r="A81" s="110"/>
      <c r="B81" s="418" t="s">
        <v>17</v>
      </c>
      <c r="C81" s="418"/>
      <c r="D81" s="418"/>
      <c r="E81" s="414" t="str">
        <f>E39</f>
        <v>MT</v>
      </c>
      <c r="F81" s="414"/>
      <c r="G81" s="414"/>
      <c r="H81" s="414"/>
      <c r="I81" s="414" t="str">
        <f>I39</f>
        <v>ME</v>
      </c>
      <c r="J81" s="414"/>
      <c r="K81" s="414"/>
      <c r="L81" s="414"/>
      <c r="M81" s="414"/>
      <c r="N81" s="414" t="str">
        <f>N39</f>
        <v>MT</v>
      </c>
      <c r="O81" s="414"/>
      <c r="P81" s="414"/>
      <c r="Q81" s="414"/>
      <c r="R81" s="414"/>
      <c r="S81" s="417" t="str">
        <f>S39</f>
        <v>ME</v>
      </c>
      <c r="T81" s="417"/>
      <c r="U81" s="417"/>
      <c r="V81" s="417"/>
      <c r="W81" s="417"/>
      <c r="X81" s="111"/>
      <c r="Z81" s="147"/>
      <c r="AR81" s="138"/>
    </row>
    <row r="82" spans="1:44" ht="30" customHeight="1" x14ac:dyDescent="0.3">
      <c r="A82" s="110"/>
      <c r="B82" s="418" t="s">
        <v>20</v>
      </c>
      <c r="C82" s="418"/>
      <c r="D82" s="418"/>
      <c r="E82" s="422"/>
      <c r="F82" s="423"/>
      <c r="G82" s="423"/>
      <c r="H82" s="424"/>
      <c r="I82" s="414"/>
      <c r="J82" s="414"/>
      <c r="K82" s="414"/>
      <c r="L82" s="414"/>
      <c r="M82" s="414"/>
      <c r="N82" s="414"/>
      <c r="O82" s="414"/>
      <c r="P82" s="414"/>
      <c r="Q82" s="414"/>
      <c r="R82" s="414"/>
      <c r="S82" s="414"/>
      <c r="T82" s="414"/>
      <c r="U82" s="414"/>
      <c r="V82" s="414"/>
      <c r="W82" s="414"/>
      <c r="X82" s="111"/>
      <c r="Z82" s="147"/>
      <c r="AR82" s="138"/>
    </row>
    <row r="83" spans="1:44" ht="30" customHeight="1" thickBot="1" x14ac:dyDescent="0.35">
      <c r="A83" s="110"/>
      <c r="B83" s="418" t="s">
        <v>21</v>
      </c>
      <c r="C83" s="418"/>
      <c r="D83" s="418"/>
      <c r="E83" s="422"/>
      <c r="F83" s="423"/>
      <c r="G83" s="423"/>
      <c r="H83" s="424"/>
      <c r="I83" s="414"/>
      <c r="J83" s="414"/>
      <c r="K83" s="414"/>
      <c r="L83" s="414"/>
      <c r="M83" s="414"/>
      <c r="N83" s="414"/>
      <c r="O83" s="414"/>
      <c r="P83" s="414"/>
      <c r="Q83" s="414"/>
      <c r="R83" s="414"/>
      <c r="S83" s="414"/>
      <c r="T83" s="414"/>
      <c r="U83" s="414"/>
      <c r="V83" s="414"/>
      <c r="W83" s="414"/>
      <c r="X83" s="111"/>
      <c r="Z83" s="150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151"/>
      <c r="AL83" s="151"/>
      <c r="AM83" s="151"/>
      <c r="AN83" s="151"/>
      <c r="AO83" s="151"/>
      <c r="AP83" s="151"/>
      <c r="AQ83" s="151"/>
      <c r="AR83" s="152"/>
    </row>
    <row r="84" spans="1:44" ht="14" thickTop="1" thickBot="1" x14ac:dyDescent="0.35">
      <c r="A84" s="121"/>
      <c r="B84" s="83"/>
      <c r="C84" s="83"/>
      <c r="D84" s="83"/>
      <c r="E84" s="83"/>
      <c r="F84" s="83"/>
      <c r="G84" s="83"/>
      <c r="H84" s="83"/>
      <c r="I84" s="83"/>
      <c r="J84" s="83"/>
      <c r="K84" s="83"/>
      <c r="L84" s="83"/>
      <c r="M84" s="83"/>
      <c r="N84" s="83"/>
      <c r="O84" s="83"/>
      <c r="P84" s="83"/>
      <c r="Q84" s="83"/>
      <c r="R84" s="83"/>
      <c r="S84" s="83"/>
      <c r="T84" s="83"/>
      <c r="U84" s="83"/>
      <c r="V84" s="83"/>
      <c r="W84" s="83"/>
      <c r="X84" s="122"/>
    </row>
  </sheetData>
  <mergeCells count="116">
    <mergeCell ref="AA14:AG16"/>
    <mergeCell ref="AA56:AG58"/>
    <mergeCell ref="B10:W10"/>
    <mergeCell ref="C11:F11"/>
    <mergeCell ref="G11:H11"/>
    <mergeCell ref="I11:W11"/>
    <mergeCell ref="B12:W12"/>
    <mergeCell ref="B13:B16"/>
    <mergeCell ref="C13:C16"/>
    <mergeCell ref="D13:F13"/>
    <mergeCell ref="G13:W13"/>
    <mergeCell ref="G14:H14"/>
    <mergeCell ref="U14:V14"/>
    <mergeCell ref="W14:W16"/>
    <mergeCell ref="B36:D37"/>
    <mergeCell ref="E36:M36"/>
    <mergeCell ref="N36:W36"/>
    <mergeCell ref="E37:H37"/>
    <mergeCell ref="I37:M37"/>
    <mergeCell ref="N37:R37"/>
    <mergeCell ref="S37:W37"/>
    <mergeCell ref="I14:J14"/>
    <mergeCell ref="K14:L14"/>
    <mergeCell ref="M14:N14"/>
    <mergeCell ref="B6:F6"/>
    <mergeCell ref="G6:N6"/>
    <mergeCell ref="O6:W6"/>
    <mergeCell ref="B7:F9"/>
    <mergeCell ref="G7:N9"/>
    <mergeCell ref="O7:W9"/>
    <mergeCell ref="B2:W2"/>
    <mergeCell ref="B3:W3"/>
    <mergeCell ref="B4:W4"/>
    <mergeCell ref="B5:F5"/>
    <mergeCell ref="G5:N5"/>
    <mergeCell ref="O5:W5"/>
    <mergeCell ref="O14:P14"/>
    <mergeCell ref="Q14:R14"/>
    <mergeCell ref="S14:T14"/>
    <mergeCell ref="B38:D38"/>
    <mergeCell ref="E38:H38"/>
    <mergeCell ref="I38:M38"/>
    <mergeCell ref="N38:R38"/>
    <mergeCell ref="S38:W38"/>
    <mergeCell ref="B39:D39"/>
    <mergeCell ref="E39:H39"/>
    <mergeCell ref="I39:M39"/>
    <mergeCell ref="N39:R39"/>
    <mergeCell ref="S39:W39"/>
    <mergeCell ref="B40:D40"/>
    <mergeCell ref="E40:H40"/>
    <mergeCell ref="I40:M40"/>
    <mergeCell ref="N40:R40"/>
    <mergeCell ref="S40:W40"/>
    <mergeCell ref="B41:D41"/>
    <mergeCell ref="E41:H41"/>
    <mergeCell ref="I41:M41"/>
    <mergeCell ref="N41:R41"/>
    <mergeCell ref="S41:W41"/>
    <mergeCell ref="B48:F48"/>
    <mergeCell ref="G48:N48"/>
    <mergeCell ref="O48:W48"/>
    <mergeCell ref="B49:F51"/>
    <mergeCell ref="G49:N51"/>
    <mergeCell ref="O49:W51"/>
    <mergeCell ref="B44:W44"/>
    <mergeCell ref="B45:W45"/>
    <mergeCell ref="B46:W46"/>
    <mergeCell ref="B47:F47"/>
    <mergeCell ref="G47:N47"/>
    <mergeCell ref="O47:W47"/>
    <mergeCell ref="I56:J56"/>
    <mergeCell ref="K56:L56"/>
    <mergeCell ref="M56:N56"/>
    <mergeCell ref="O56:P56"/>
    <mergeCell ref="Q56:R56"/>
    <mergeCell ref="S56:T56"/>
    <mergeCell ref="B52:W52"/>
    <mergeCell ref="C53:F53"/>
    <mergeCell ref="G53:H53"/>
    <mergeCell ref="I53:W53"/>
    <mergeCell ref="B54:W54"/>
    <mergeCell ref="B55:B58"/>
    <mergeCell ref="C55:C58"/>
    <mergeCell ref="D55:F55"/>
    <mergeCell ref="G55:W55"/>
    <mergeCell ref="G56:H56"/>
    <mergeCell ref="U56:V56"/>
    <mergeCell ref="W56:W58"/>
    <mergeCell ref="B82:D82"/>
    <mergeCell ref="E82:H82"/>
    <mergeCell ref="I82:M82"/>
    <mergeCell ref="N82:R82"/>
    <mergeCell ref="S82:W82"/>
    <mergeCell ref="B83:D83"/>
    <mergeCell ref="E83:H83"/>
    <mergeCell ref="I83:M83"/>
    <mergeCell ref="N83:R83"/>
    <mergeCell ref="S83:W83"/>
    <mergeCell ref="B78:D79"/>
    <mergeCell ref="E78:M78"/>
    <mergeCell ref="B80:D80"/>
    <mergeCell ref="E80:H80"/>
    <mergeCell ref="I80:M80"/>
    <mergeCell ref="N80:R80"/>
    <mergeCell ref="S80:W80"/>
    <mergeCell ref="B81:D81"/>
    <mergeCell ref="E81:H81"/>
    <mergeCell ref="I81:M81"/>
    <mergeCell ref="N81:R81"/>
    <mergeCell ref="S81:W81"/>
    <mergeCell ref="N78:W78"/>
    <mergeCell ref="E79:H79"/>
    <mergeCell ref="I79:M79"/>
    <mergeCell ref="N79:R79"/>
    <mergeCell ref="S79:W79"/>
  </mergeCells>
  <printOptions horizontalCentered="1" verticalCentered="1"/>
  <pageMargins left="0.25" right="0.25" top="0.5" bottom="0.25" header="0.5" footer="0.5"/>
  <pageSetup paperSize="9" scale="56" fitToHeight="0" orientation="landscape" blackAndWhite="1" r:id="rId1"/>
  <rowBreaks count="1" manualBreakCount="1">
    <brk id="42" max="2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Input</vt:lpstr>
      <vt:lpstr>DCP_Test_Report_Template</vt:lpstr>
      <vt:lpstr>DCP_Test_Summary_Template</vt:lpstr>
      <vt:lpstr>DCP_Test_Report_Template!Print_Area</vt:lpstr>
      <vt:lpstr>DCP_Test_Summary_Template!Print_Area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H.P.Sandun Premakumara</dc:creator>
  <cp:lastModifiedBy>Sandun Premakumara</cp:lastModifiedBy>
  <cp:lastPrinted>2025-05-17T13:30:53Z</cp:lastPrinted>
  <dcterms:created xsi:type="dcterms:W3CDTF">2024-12-07T05:01:36Z</dcterms:created>
  <dcterms:modified xsi:type="dcterms:W3CDTF">2026-09-26T10:58:30Z</dcterms:modified>
</cp:coreProperties>
</file>